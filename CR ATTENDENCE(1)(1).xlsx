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bookViews>
    <workbookView xWindow="0" yWindow="0" windowWidth="20490" windowHeight="7065" activeTab="4"/>
  </bookViews>
  <sheets>
    <sheet name="JAN 2026" sheetId="1" r:id="rId1"/>
    <sheet name="FEB 2026" sheetId="2" r:id="rId2"/>
    <sheet name="MAR 2026" sheetId="3" r:id="rId3"/>
    <sheet name="APRIL 2026" sheetId="4" r:id="rId4"/>
    <sheet name="MAY 2026" sheetId="5" r:id="rId5"/>
  </sheets>
  <definedNames>
    <definedName name="_xlnm._FilterDatabase" localSheetId="3" hidden="1">'APRIL 2026'!$A$1:$CY$301</definedName>
    <definedName name="_xlnm._FilterDatabase" localSheetId="1" hidden="1">'FEB 2026'!$A$1:$J$281</definedName>
    <definedName name="_xlnm._FilterDatabase" localSheetId="0" hidden="1">'JAN 2026'!$A$1:$H$280</definedName>
    <definedName name="_xlnm._FilterDatabase" localSheetId="2" hidden="1">'MAR 2026'!$A$1:$I$311</definedName>
    <definedName name="_xlnm._FilterDatabase" localSheetId="4" hidden="1">'MAY 2026'!$A$1:$I$590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5" l="1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2" i="5"/>
  <c r="I3" i="5"/>
  <c r="G32" i="5"/>
  <c r="H32" i="5"/>
  <c r="G33" i="5"/>
  <c r="H33" i="5"/>
  <c r="G34" i="5"/>
  <c r="H34" i="5"/>
  <c r="G35" i="5"/>
  <c r="H35" i="5"/>
  <c r="G36" i="5"/>
  <c r="H36" i="5"/>
  <c r="G37" i="5"/>
  <c r="H37" i="5"/>
  <c r="G38" i="5"/>
  <c r="H38" i="5"/>
  <c r="G39" i="5"/>
  <c r="H39" i="5"/>
  <c r="G40" i="5"/>
  <c r="H40" i="5"/>
  <c r="G41" i="5"/>
  <c r="H41" i="5"/>
  <c r="G42" i="5"/>
  <c r="H42" i="5"/>
  <c r="G43" i="5"/>
  <c r="H43" i="5"/>
  <c r="G44" i="5"/>
  <c r="H44" i="5"/>
  <c r="G45" i="5"/>
  <c r="H45" i="5"/>
  <c r="G46" i="5"/>
  <c r="H46" i="5"/>
  <c r="G47" i="5"/>
  <c r="H47" i="5"/>
  <c r="G48" i="5"/>
  <c r="H48" i="5"/>
  <c r="G49" i="5"/>
  <c r="H49" i="5"/>
  <c r="G50" i="5"/>
  <c r="H50" i="5"/>
  <c r="G51" i="5"/>
  <c r="H51" i="5"/>
  <c r="G52" i="5"/>
  <c r="H52" i="5"/>
  <c r="G53" i="5"/>
  <c r="H53" i="5"/>
  <c r="G54" i="5"/>
  <c r="H54" i="5"/>
  <c r="G55" i="5"/>
  <c r="H55" i="5"/>
  <c r="G56" i="5"/>
  <c r="H56" i="5"/>
  <c r="G57" i="5"/>
  <c r="H57" i="5"/>
  <c r="G58" i="5"/>
  <c r="H58" i="5"/>
  <c r="G59" i="5"/>
  <c r="H59" i="5"/>
  <c r="H60" i="5"/>
  <c r="H61" i="5"/>
  <c r="H62" i="5"/>
  <c r="G63" i="5"/>
  <c r="H63" i="5"/>
  <c r="G64" i="5"/>
  <c r="H64" i="5"/>
  <c r="G65" i="5"/>
  <c r="H65" i="5"/>
  <c r="G66" i="5"/>
  <c r="H66" i="5"/>
  <c r="G67" i="5"/>
  <c r="H67" i="5"/>
  <c r="G68" i="5"/>
  <c r="H68" i="5"/>
  <c r="G69" i="5"/>
  <c r="H69" i="5"/>
  <c r="G70" i="5"/>
  <c r="H70" i="5"/>
  <c r="G71" i="5"/>
  <c r="H71" i="5"/>
  <c r="G72" i="5"/>
  <c r="H72" i="5"/>
  <c r="G73" i="5"/>
  <c r="H73" i="5"/>
  <c r="G74" i="5"/>
  <c r="H74" i="5"/>
  <c r="G75" i="5"/>
  <c r="H75" i="5"/>
  <c r="G76" i="5"/>
  <c r="H76" i="5"/>
  <c r="G77" i="5"/>
  <c r="H77" i="5"/>
  <c r="G78" i="5"/>
  <c r="H78" i="5"/>
  <c r="G79" i="5"/>
  <c r="H79" i="5"/>
  <c r="G80" i="5"/>
  <c r="H80" i="5"/>
  <c r="G81" i="5"/>
  <c r="H81" i="5"/>
  <c r="G82" i="5"/>
  <c r="H82" i="5"/>
  <c r="G83" i="5"/>
  <c r="H83" i="5"/>
  <c r="G84" i="5"/>
  <c r="H84" i="5"/>
  <c r="G85" i="5"/>
  <c r="H85" i="5"/>
  <c r="G86" i="5"/>
  <c r="H86" i="5"/>
  <c r="G87" i="5"/>
  <c r="H87" i="5"/>
  <c r="G88" i="5"/>
  <c r="H88" i="5"/>
  <c r="G89" i="5"/>
  <c r="H89" i="5"/>
  <c r="G90" i="5"/>
  <c r="H90" i="5"/>
  <c r="H91" i="5"/>
  <c r="G92" i="5"/>
  <c r="H92" i="5"/>
  <c r="G93" i="5"/>
  <c r="H93" i="5"/>
  <c r="G94" i="5"/>
  <c r="H94" i="5"/>
  <c r="G95" i="5"/>
  <c r="H95" i="5"/>
  <c r="G96" i="5"/>
  <c r="H96" i="5"/>
  <c r="G97" i="5"/>
  <c r="H97" i="5"/>
  <c r="G98" i="5"/>
  <c r="H98" i="5"/>
  <c r="G99" i="5"/>
  <c r="H99" i="5"/>
  <c r="G100" i="5"/>
  <c r="H100" i="5"/>
  <c r="G101" i="5"/>
  <c r="H101" i="5"/>
  <c r="G102" i="5"/>
  <c r="H102" i="5"/>
  <c r="G103" i="5"/>
  <c r="H103" i="5"/>
  <c r="G104" i="5"/>
  <c r="H104" i="5"/>
  <c r="G105" i="5"/>
  <c r="H105" i="5"/>
  <c r="G106" i="5"/>
  <c r="H106" i="5"/>
  <c r="G107" i="5"/>
  <c r="H107" i="5"/>
  <c r="G108" i="5"/>
  <c r="H108" i="5"/>
  <c r="G109" i="5"/>
  <c r="H109" i="5"/>
  <c r="G110" i="5"/>
  <c r="H110" i="5"/>
  <c r="G111" i="5"/>
  <c r="H111" i="5"/>
  <c r="G112" i="5"/>
  <c r="H112" i="5"/>
  <c r="G113" i="5"/>
  <c r="H113" i="5"/>
  <c r="G114" i="5"/>
  <c r="H114" i="5"/>
  <c r="G115" i="5"/>
  <c r="H115" i="5"/>
  <c r="G116" i="5"/>
  <c r="H116" i="5"/>
  <c r="G117" i="5"/>
  <c r="H117" i="5"/>
  <c r="G118" i="5"/>
  <c r="H118" i="5"/>
  <c r="G119" i="5"/>
  <c r="H119" i="5"/>
  <c r="G120" i="5"/>
  <c r="H120" i="5"/>
  <c r="G121" i="5"/>
  <c r="H121" i="5"/>
  <c r="H122" i="5"/>
  <c r="G123" i="5"/>
  <c r="H123" i="5"/>
  <c r="G124" i="5"/>
  <c r="H124" i="5"/>
  <c r="G125" i="5"/>
  <c r="H125" i="5"/>
  <c r="G126" i="5"/>
  <c r="H126" i="5"/>
  <c r="G127" i="5"/>
  <c r="H127" i="5"/>
  <c r="G128" i="5"/>
  <c r="H128" i="5"/>
  <c r="G129" i="5"/>
  <c r="H129" i="5"/>
  <c r="G130" i="5"/>
  <c r="H130" i="5"/>
  <c r="G131" i="5"/>
  <c r="H131" i="5"/>
  <c r="G132" i="5"/>
  <c r="H132" i="5"/>
  <c r="G133" i="5"/>
  <c r="H133" i="5"/>
  <c r="G134" i="5"/>
  <c r="H134" i="5"/>
  <c r="G135" i="5"/>
  <c r="H135" i="5"/>
  <c r="G136" i="5"/>
  <c r="H136" i="5"/>
  <c r="G137" i="5"/>
  <c r="H137" i="5"/>
  <c r="G138" i="5"/>
  <c r="H138" i="5"/>
  <c r="G139" i="5"/>
  <c r="H139" i="5"/>
  <c r="G140" i="5"/>
  <c r="H140" i="5"/>
  <c r="G141" i="5"/>
  <c r="H141" i="5"/>
  <c r="G142" i="5"/>
  <c r="H142" i="5"/>
  <c r="G143" i="5"/>
  <c r="H143" i="5"/>
  <c r="G144" i="5"/>
  <c r="H144" i="5"/>
  <c r="G145" i="5"/>
  <c r="H145" i="5"/>
  <c r="G146" i="5"/>
  <c r="H146" i="5"/>
  <c r="G147" i="5"/>
  <c r="H147" i="5"/>
  <c r="G148" i="5"/>
  <c r="H148" i="5"/>
  <c r="G149" i="5"/>
  <c r="H149" i="5"/>
  <c r="G150" i="5"/>
  <c r="H150" i="5"/>
  <c r="G151" i="5"/>
  <c r="H151" i="5"/>
  <c r="G152" i="5"/>
  <c r="H152" i="5"/>
  <c r="H153" i="5"/>
  <c r="G154" i="5"/>
  <c r="H154" i="5"/>
  <c r="G155" i="5"/>
  <c r="H155" i="5"/>
  <c r="G156" i="5"/>
  <c r="H156" i="5"/>
  <c r="G157" i="5"/>
  <c r="H157" i="5"/>
  <c r="G158" i="5"/>
  <c r="H158" i="5"/>
  <c r="G159" i="5"/>
  <c r="H159" i="5"/>
  <c r="G160" i="5"/>
  <c r="H160" i="5"/>
  <c r="G161" i="5"/>
  <c r="H161" i="5"/>
  <c r="G162" i="5"/>
  <c r="H162" i="5"/>
  <c r="G163" i="5"/>
  <c r="H163" i="5"/>
  <c r="G164" i="5"/>
  <c r="H164" i="5"/>
  <c r="G165" i="5"/>
  <c r="H165" i="5"/>
  <c r="G166" i="5"/>
  <c r="H166" i="5"/>
  <c r="G167" i="5"/>
  <c r="H167" i="5"/>
  <c r="G168" i="5"/>
  <c r="H168" i="5"/>
  <c r="G169" i="5"/>
  <c r="H169" i="5"/>
  <c r="G170" i="5"/>
  <c r="H170" i="5"/>
  <c r="G171" i="5"/>
  <c r="H171" i="5"/>
  <c r="G172" i="5"/>
  <c r="H172" i="5"/>
  <c r="G173" i="5"/>
  <c r="H173" i="5"/>
  <c r="G174" i="5"/>
  <c r="H174" i="5"/>
  <c r="G175" i="5"/>
  <c r="H175" i="5"/>
  <c r="G176" i="5"/>
  <c r="H176" i="5"/>
  <c r="G177" i="5"/>
  <c r="H177" i="5"/>
  <c r="G178" i="5"/>
  <c r="H178" i="5"/>
  <c r="G179" i="5"/>
  <c r="H179" i="5"/>
  <c r="G180" i="5"/>
  <c r="H180" i="5"/>
  <c r="G181" i="5"/>
  <c r="H181" i="5"/>
  <c r="G182" i="5"/>
  <c r="H182" i="5"/>
  <c r="G183" i="5"/>
  <c r="H183" i="5"/>
  <c r="H184" i="5"/>
  <c r="H185" i="5"/>
  <c r="H186" i="5"/>
  <c r="G187" i="5"/>
  <c r="H187" i="5"/>
  <c r="G188" i="5"/>
  <c r="H188" i="5"/>
  <c r="G189" i="5"/>
  <c r="H189" i="5"/>
  <c r="G190" i="5"/>
  <c r="H190" i="5"/>
  <c r="G191" i="5"/>
  <c r="H191" i="5"/>
  <c r="G192" i="5"/>
  <c r="H192" i="5"/>
  <c r="G193" i="5"/>
  <c r="H193" i="5"/>
  <c r="G194" i="5"/>
  <c r="H194" i="5"/>
  <c r="G195" i="5"/>
  <c r="H195" i="5"/>
  <c r="G196" i="5"/>
  <c r="H196" i="5"/>
  <c r="G197" i="5"/>
  <c r="H197" i="5"/>
  <c r="G198" i="5"/>
  <c r="H198" i="5"/>
  <c r="G199" i="5"/>
  <c r="H199" i="5"/>
  <c r="G200" i="5"/>
  <c r="H200" i="5"/>
  <c r="G201" i="5"/>
  <c r="H201" i="5"/>
  <c r="G202" i="5"/>
  <c r="H202" i="5"/>
  <c r="G203" i="5"/>
  <c r="H203" i="5"/>
  <c r="G204" i="5"/>
  <c r="H204" i="5"/>
  <c r="G205" i="5"/>
  <c r="H205" i="5"/>
  <c r="G206" i="5"/>
  <c r="H206" i="5"/>
  <c r="G207" i="5"/>
  <c r="H207" i="5"/>
  <c r="G208" i="5"/>
  <c r="H208" i="5"/>
  <c r="G209" i="5"/>
  <c r="H209" i="5"/>
  <c r="G210" i="5"/>
  <c r="H210" i="5"/>
  <c r="G211" i="5"/>
  <c r="H211" i="5"/>
  <c r="G212" i="5"/>
  <c r="H212" i="5"/>
  <c r="G213" i="5"/>
  <c r="H213" i="5"/>
  <c r="G214" i="5"/>
  <c r="H214" i="5"/>
  <c r="H215" i="5"/>
  <c r="G216" i="5"/>
  <c r="H216" i="5"/>
  <c r="G217" i="5"/>
  <c r="H217" i="5"/>
  <c r="G218" i="5"/>
  <c r="H218" i="5"/>
  <c r="G219" i="5"/>
  <c r="H219" i="5"/>
  <c r="G220" i="5"/>
  <c r="H220" i="5"/>
  <c r="G221" i="5"/>
  <c r="H221" i="5"/>
  <c r="G222" i="5"/>
  <c r="H222" i="5"/>
  <c r="G223" i="5"/>
  <c r="H223" i="5"/>
  <c r="G224" i="5"/>
  <c r="H224" i="5"/>
  <c r="G225" i="5"/>
  <c r="H225" i="5"/>
  <c r="G226" i="5"/>
  <c r="H226" i="5"/>
  <c r="G227" i="5"/>
  <c r="H227" i="5"/>
  <c r="G228" i="5"/>
  <c r="H228" i="5"/>
  <c r="G229" i="5"/>
  <c r="H229" i="5"/>
  <c r="G230" i="5"/>
  <c r="H230" i="5"/>
  <c r="G231" i="5"/>
  <c r="H231" i="5"/>
  <c r="G232" i="5"/>
  <c r="H232" i="5"/>
  <c r="G233" i="5"/>
  <c r="H233" i="5"/>
  <c r="G234" i="5"/>
  <c r="H234" i="5"/>
  <c r="G235" i="5"/>
  <c r="H235" i="5"/>
  <c r="G236" i="5"/>
  <c r="H236" i="5"/>
  <c r="G237" i="5"/>
  <c r="H237" i="5"/>
  <c r="G238" i="5"/>
  <c r="H238" i="5"/>
  <c r="G239" i="5"/>
  <c r="H239" i="5"/>
  <c r="G240" i="5"/>
  <c r="H240" i="5"/>
  <c r="G241" i="5"/>
  <c r="H241" i="5"/>
  <c r="G242" i="5"/>
  <c r="H242" i="5"/>
  <c r="G243" i="5"/>
  <c r="H243" i="5"/>
  <c r="G244" i="5"/>
  <c r="H244" i="5"/>
  <c r="G245" i="5"/>
  <c r="H245" i="5"/>
  <c r="H246" i="5"/>
  <c r="G247" i="5"/>
  <c r="H247" i="5"/>
  <c r="G248" i="5"/>
  <c r="H248" i="5"/>
  <c r="G249" i="5"/>
  <c r="H249" i="5"/>
  <c r="G250" i="5"/>
  <c r="H250" i="5"/>
  <c r="G251" i="5"/>
  <c r="H251" i="5"/>
  <c r="G252" i="5"/>
  <c r="H252" i="5"/>
  <c r="G253" i="5"/>
  <c r="H253" i="5"/>
  <c r="G254" i="5"/>
  <c r="H254" i="5"/>
  <c r="G255" i="5"/>
  <c r="H255" i="5"/>
  <c r="G256" i="5"/>
  <c r="H256" i="5"/>
  <c r="G257" i="5"/>
  <c r="H257" i="5"/>
  <c r="G258" i="5"/>
  <c r="H258" i="5"/>
  <c r="G259" i="5"/>
  <c r="H259" i="5"/>
  <c r="G260" i="5"/>
  <c r="H260" i="5"/>
  <c r="G261" i="5"/>
  <c r="H261" i="5"/>
  <c r="G262" i="5"/>
  <c r="H262" i="5"/>
  <c r="G263" i="5"/>
  <c r="H263" i="5"/>
  <c r="G264" i="5"/>
  <c r="H264" i="5"/>
  <c r="G265" i="5"/>
  <c r="H265" i="5"/>
  <c r="G266" i="5"/>
  <c r="H266" i="5"/>
  <c r="G267" i="5"/>
  <c r="H267" i="5"/>
  <c r="G268" i="5"/>
  <c r="H268" i="5"/>
  <c r="G269" i="5"/>
  <c r="H269" i="5"/>
  <c r="G270" i="5"/>
  <c r="H270" i="5"/>
  <c r="G271" i="5"/>
  <c r="H271" i="5"/>
  <c r="G272" i="5"/>
  <c r="H272" i="5"/>
  <c r="G273" i="5"/>
  <c r="H273" i="5"/>
  <c r="G274" i="5"/>
  <c r="H274" i="5"/>
  <c r="G275" i="5"/>
  <c r="H275" i="5"/>
  <c r="G276" i="5"/>
  <c r="H276" i="5"/>
  <c r="H277" i="5"/>
  <c r="G278" i="5"/>
  <c r="H278" i="5"/>
  <c r="G279" i="5"/>
  <c r="H279" i="5"/>
  <c r="G280" i="5"/>
  <c r="H280" i="5"/>
  <c r="G281" i="5"/>
  <c r="H281" i="5"/>
  <c r="G282" i="5"/>
  <c r="H282" i="5"/>
  <c r="G283" i="5"/>
  <c r="H283" i="5"/>
  <c r="G284" i="5"/>
  <c r="H284" i="5"/>
  <c r="G285" i="5"/>
  <c r="H285" i="5"/>
  <c r="G286" i="5"/>
  <c r="H286" i="5"/>
  <c r="G287" i="5"/>
  <c r="H287" i="5"/>
  <c r="G288" i="5"/>
  <c r="H288" i="5"/>
  <c r="G289" i="5"/>
  <c r="H289" i="5"/>
  <c r="G290" i="5"/>
  <c r="H290" i="5"/>
  <c r="G291" i="5"/>
  <c r="H291" i="5"/>
  <c r="G292" i="5"/>
  <c r="H292" i="5"/>
  <c r="G293" i="5"/>
  <c r="H293" i="5"/>
  <c r="G294" i="5"/>
  <c r="H294" i="5"/>
  <c r="G295" i="5"/>
  <c r="H295" i="5"/>
  <c r="G296" i="5"/>
  <c r="H296" i="5"/>
  <c r="G297" i="5"/>
  <c r="H297" i="5"/>
  <c r="G298" i="5"/>
  <c r="H298" i="5"/>
  <c r="G299" i="5"/>
  <c r="H299" i="5"/>
  <c r="G300" i="5"/>
  <c r="H300" i="5"/>
  <c r="G301" i="5"/>
  <c r="H301" i="5"/>
  <c r="G302" i="5"/>
  <c r="H302" i="5"/>
  <c r="G303" i="5"/>
  <c r="H303" i="5"/>
  <c r="G304" i="5"/>
  <c r="H304" i="5"/>
  <c r="G305" i="5"/>
  <c r="H305" i="5"/>
  <c r="G306" i="5"/>
  <c r="H306" i="5"/>
  <c r="G307" i="5"/>
  <c r="H307" i="5"/>
  <c r="H308" i="5"/>
  <c r="G309" i="5"/>
  <c r="H309" i="5"/>
  <c r="G310" i="5"/>
  <c r="H310" i="5"/>
  <c r="G311" i="5"/>
  <c r="H311" i="5"/>
  <c r="G3" i="5"/>
  <c r="H3" i="5"/>
  <c r="G4" i="5"/>
  <c r="H4" i="5"/>
  <c r="G5" i="5"/>
  <c r="H5" i="5"/>
  <c r="G6" i="5"/>
  <c r="H6" i="5"/>
  <c r="G7" i="5"/>
  <c r="H7" i="5"/>
  <c r="G8" i="5"/>
  <c r="H8" i="5"/>
  <c r="G9" i="5"/>
  <c r="H9" i="5"/>
  <c r="G10" i="5"/>
  <c r="H10" i="5"/>
  <c r="G11" i="5"/>
  <c r="H11" i="5"/>
  <c r="G12" i="5"/>
  <c r="H12" i="5"/>
  <c r="G13" i="5"/>
  <c r="H13" i="5"/>
  <c r="G14" i="5"/>
  <c r="H14" i="5"/>
  <c r="G15" i="5"/>
  <c r="H15" i="5"/>
  <c r="G16" i="5"/>
  <c r="H16" i="5"/>
  <c r="G17" i="5"/>
  <c r="H17" i="5"/>
  <c r="G18" i="5"/>
  <c r="H18" i="5"/>
  <c r="G19" i="5"/>
  <c r="H19" i="5"/>
  <c r="G20" i="5"/>
  <c r="H20" i="5"/>
  <c r="G21" i="5"/>
  <c r="H21" i="5"/>
  <c r="G22" i="5"/>
  <c r="H22" i="5"/>
  <c r="G23" i="5"/>
  <c r="H23" i="5"/>
  <c r="G24" i="5"/>
  <c r="H24" i="5"/>
  <c r="G25" i="5"/>
  <c r="H25" i="5"/>
  <c r="G26" i="5"/>
  <c r="H26" i="5"/>
  <c r="G27" i="5"/>
  <c r="H27" i="5"/>
  <c r="G28" i="5"/>
  <c r="H28" i="5"/>
  <c r="H29" i="5"/>
  <c r="H30" i="5"/>
  <c r="H31" i="5"/>
  <c r="H2" i="5"/>
  <c r="G2" i="5"/>
  <c r="G210" i="3" l="1"/>
  <c r="G86" i="3"/>
  <c r="H86" i="3"/>
  <c r="I86" i="3"/>
  <c r="G117" i="3"/>
  <c r="H117" i="3"/>
  <c r="I117" i="3"/>
  <c r="G241" i="3"/>
  <c r="H241" i="3"/>
  <c r="I241" i="3"/>
  <c r="G272" i="3"/>
  <c r="H272" i="3"/>
  <c r="I272" i="3"/>
  <c r="G303" i="3"/>
  <c r="H303" i="3"/>
  <c r="I303" i="3"/>
  <c r="G108" i="4" l="1"/>
  <c r="H108" i="4"/>
  <c r="I108" i="4"/>
  <c r="G109" i="4"/>
  <c r="H109" i="4"/>
  <c r="I109" i="4"/>
  <c r="G110" i="4"/>
  <c r="H110" i="4"/>
  <c r="I110" i="4"/>
  <c r="G111" i="4"/>
  <c r="H111" i="4"/>
  <c r="I111" i="4"/>
  <c r="G112" i="4"/>
  <c r="H112" i="4"/>
  <c r="I112" i="4"/>
  <c r="G113" i="4"/>
  <c r="H113" i="4"/>
  <c r="I113" i="4"/>
  <c r="G114" i="4"/>
  <c r="H114" i="4"/>
  <c r="I114" i="4"/>
  <c r="G115" i="4"/>
  <c r="H115" i="4"/>
  <c r="I115" i="4"/>
  <c r="G116" i="4"/>
  <c r="H116" i="4"/>
  <c r="I116" i="4"/>
  <c r="G117" i="4"/>
  <c r="H117" i="4"/>
  <c r="I117" i="4"/>
  <c r="G118" i="4"/>
  <c r="H118" i="4"/>
  <c r="I118" i="4"/>
  <c r="G119" i="4"/>
  <c r="H119" i="4"/>
  <c r="I119" i="4"/>
  <c r="G120" i="4"/>
  <c r="H120" i="4"/>
  <c r="I120" i="4"/>
  <c r="G121" i="4"/>
  <c r="H121" i="4"/>
  <c r="I121" i="4"/>
  <c r="G122" i="4"/>
  <c r="H122" i="4"/>
  <c r="I122" i="4"/>
  <c r="G123" i="4"/>
  <c r="H123" i="4"/>
  <c r="I123" i="4"/>
  <c r="G124" i="4"/>
  <c r="H124" i="4"/>
  <c r="I124" i="4"/>
  <c r="G125" i="4"/>
  <c r="H125" i="4"/>
  <c r="I125" i="4"/>
  <c r="G126" i="4"/>
  <c r="H126" i="4"/>
  <c r="I126" i="4"/>
  <c r="G127" i="4"/>
  <c r="H127" i="4"/>
  <c r="I127" i="4"/>
  <c r="G128" i="4"/>
  <c r="H128" i="4"/>
  <c r="I128" i="4"/>
  <c r="G129" i="4"/>
  <c r="H129" i="4"/>
  <c r="I129" i="4"/>
  <c r="G130" i="4"/>
  <c r="H130" i="4"/>
  <c r="I130" i="4"/>
  <c r="G131" i="4"/>
  <c r="H131" i="4"/>
  <c r="I131" i="4"/>
  <c r="G132" i="4"/>
  <c r="H132" i="4"/>
  <c r="I132" i="4"/>
  <c r="G133" i="4"/>
  <c r="H133" i="4"/>
  <c r="I133" i="4"/>
  <c r="G134" i="4"/>
  <c r="H134" i="4"/>
  <c r="I134" i="4"/>
  <c r="G135" i="4"/>
  <c r="H135" i="4"/>
  <c r="I135" i="4"/>
  <c r="G136" i="4"/>
  <c r="H136" i="4"/>
  <c r="I136" i="4"/>
  <c r="G137" i="4"/>
  <c r="H137" i="4"/>
  <c r="I137" i="4"/>
  <c r="G138" i="4"/>
  <c r="H138" i="4"/>
  <c r="I138" i="4"/>
  <c r="G139" i="4"/>
  <c r="H139" i="4"/>
  <c r="I139" i="4"/>
  <c r="G140" i="4"/>
  <c r="H140" i="4"/>
  <c r="I140" i="4"/>
  <c r="G141" i="4"/>
  <c r="H141" i="4"/>
  <c r="I141" i="4"/>
  <c r="G142" i="4"/>
  <c r="H142" i="4"/>
  <c r="I142" i="4"/>
  <c r="G143" i="4"/>
  <c r="H143" i="4"/>
  <c r="I143" i="4"/>
  <c r="G144" i="4"/>
  <c r="H144" i="4"/>
  <c r="I144" i="4"/>
  <c r="G145" i="4"/>
  <c r="H145" i="4"/>
  <c r="I145" i="4"/>
  <c r="G146" i="4"/>
  <c r="H146" i="4"/>
  <c r="I146" i="4"/>
  <c r="G147" i="4"/>
  <c r="H147" i="4"/>
  <c r="I147" i="4"/>
  <c r="G148" i="4"/>
  <c r="H148" i="4"/>
  <c r="I148" i="4"/>
  <c r="G149" i="4"/>
  <c r="H149" i="4"/>
  <c r="I149" i="4"/>
  <c r="G150" i="4"/>
  <c r="H150" i="4"/>
  <c r="I150" i="4"/>
  <c r="G151" i="4"/>
  <c r="H151" i="4"/>
  <c r="I151" i="4"/>
  <c r="G152" i="4"/>
  <c r="H152" i="4"/>
  <c r="I152" i="4"/>
  <c r="G153" i="4"/>
  <c r="H153" i="4"/>
  <c r="I153" i="4"/>
  <c r="G154" i="4"/>
  <c r="H154" i="4"/>
  <c r="I154" i="4"/>
  <c r="G155" i="4"/>
  <c r="H155" i="4"/>
  <c r="I155" i="4"/>
  <c r="G156" i="4"/>
  <c r="H156" i="4"/>
  <c r="I156" i="4"/>
  <c r="G157" i="4"/>
  <c r="H157" i="4"/>
  <c r="I157" i="4"/>
  <c r="G158" i="4"/>
  <c r="H158" i="4"/>
  <c r="I158" i="4"/>
  <c r="G159" i="4"/>
  <c r="H159" i="4"/>
  <c r="I159" i="4"/>
  <c r="G160" i="4"/>
  <c r="H160" i="4"/>
  <c r="I160" i="4"/>
  <c r="G161" i="4"/>
  <c r="H161" i="4"/>
  <c r="I161" i="4"/>
  <c r="G162" i="4"/>
  <c r="H162" i="4"/>
  <c r="I162" i="4"/>
  <c r="G163" i="4"/>
  <c r="H163" i="4"/>
  <c r="I163" i="4"/>
  <c r="G164" i="4"/>
  <c r="H164" i="4"/>
  <c r="I164" i="4"/>
  <c r="G165" i="4"/>
  <c r="H165" i="4"/>
  <c r="I165" i="4"/>
  <c r="G166" i="4"/>
  <c r="H166" i="4"/>
  <c r="I166" i="4"/>
  <c r="G167" i="4"/>
  <c r="H167" i="4"/>
  <c r="I167" i="4"/>
  <c r="G168" i="4"/>
  <c r="H168" i="4"/>
  <c r="I168" i="4"/>
  <c r="G169" i="4"/>
  <c r="H169" i="4"/>
  <c r="I169" i="4"/>
  <c r="G170" i="4"/>
  <c r="H170" i="4"/>
  <c r="I170" i="4"/>
  <c r="G171" i="4"/>
  <c r="H171" i="4"/>
  <c r="I171" i="4"/>
  <c r="G172" i="4"/>
  <c r="H172" i="4"/>
  <c r="I172" i="4"/>
  <c r="G173" i="4"/>
  <c r="H173" i="4"/>
  <c r="I173" i="4"/>
  <c r="G174" i="4"/>
  <c r="H174" i="4"/>
  <c r="I174" i="4"/>
  <c r="G175" i="4"/>
  <c r="H175" i="4"/>
  <c r="I175" i="4"/>
  <c r="G176" i="4"/>
  <c r="H176" i="4"/>
  <c r="I176" i="4"/>
  <c r="G177" i="4"/>
  <c r="H177" i="4"/>
  <c r="I177" i="4"/>
  <c r="G178" i="4"/>
  <c r="H178" i="4"/>
  <c r="I178" i="4"/>
  <c r="G179" i="4"/>
  <c r="H179" i="4"/>
  <c r="I179" i="4"/>
  <c r="G180" i="4"/>
  <c r="H180" i="4"/>
  <c r="I180" i="4"/>
  <c r="G181" i="4"/>
  <c r="H181" i="4"/>
  <c r="I181" i="4"/>
  <c r="G182" i="4"/>
  <c r="H182" i="4"/>
  <c r="I182" i="4"/>
  <c r="G183" i="4"/>
  <c r="H183" i="4"/>
  <c r="I183" i="4"/>
  <c r="G184" i="4"/>
  <c r="H184" i="4"/>
  <c r="I184" i="4"/>
  <c r="G185" i="4"/>
  <c r="H185" i="4"/>
  <c r="I185" i="4"/>
  <c r="G186" i="4"/>
  <c r="H186" i="4"/>
  <c r="I186" i="4"/>
  <c r="G187" i="4"/>
  <c r="H187" i="4"/>
  <c r="I187" i="4"/>
  <c r="G188" i="4"/>
  <c r="H188" i="4"/>
  <c r="I188" i="4"/>
  <c r="G189" i="4"/>
  <c r="H189" i="4"/>
  <c r="I189" i="4"/>
  <c r="G190" i="4"/>
  <c r="H190" i="4"/>
  <c r="I190" i="4"/>
  <c r="G191" i="4"/>
  <c r="H191" i="4"/>
  <c r="I191" i="4"/>
  <c r="G192" i="4"/>
  <c r="H192" i="4"/>
  <c r="I192" i="4"/>
  <c r="G193" i="4"/>
  <c r="H193" i="4"/>
  <c r="I193" i="4"/>
  <c r="G194" i="4"/>
  <c r="H194" i="4"/>
  <c r="I194" i="4"/>
  <c r="G195" i="4"/>
  <c r="H195" i="4"/>
  <c r="I195" i="4"/>
  <c r="G196" i="4"/>
  <c r="H196" i="4"/>
  <c r="I196" i="4"/>
  <c r="G197" i="4"/>
  <c r="H197" i="4"/>
  <c r="I197" i="4"/>
  <c r="G198" i="4"/>
  <c r="H198" i="4"/>
  <c r="I198" i="4"/>
  <c r="G199" i="4"/>
  <c r="H199" i="4"/>
  <c r="I199" i="4"/>
  <c r="G200" i="4"/>
  <c r="H200" i="4"/>
  <c r="I200" i="4"/>
  <c r="G201" i="4"/>
  <c r="H201" i="4"/>
  <c r="I201" i="4"/>
  <c r="G202" i="4"/>
  <c r="H202" i="4"/>
  <c r="I202" i="4"/>
  <c r="G203" i="4"/>
  <c r="H203" i="4"/>
  <c r="I203" i="4"/>
  <c r="G204" i="4"/>
  <c r="H204" i="4"/>
  <c r="I204" i="4"/>
  <c r="G205" i="4"/>
  <c r="H205" i="4"/>
  <c r="I205" i="4"/>
  <c r="G206" i="4"/>
  <c r="H206" i="4"/>
  <c r="I206" i="4"/>
  <c r="G207" i="4"/>
  <c r="H207" i="4"/>
  <c r="I207" i="4"/>
  <c r="G208" i="4"/>
  <c r="H208" i="4"/>
  <c r="I208" i="4"/>
  <c r="G209" i="4"/>
  <c r="H209" i="4"/>
  <c r="I209" i="4"/>
  <c r="G210" i="4"/>
  <c r="H210" i="4"/>
  <c r="I210" i="4"/>
  <c r="G211" i="4"/>
  <c r="H211" i="4"/>
  <c r="I211" i="4"/>
  <c r="G212" i="4"/>
  <c r="H212" i="4"/>
  <c r="I212" i="4"/>
  <c r="G213" i="4"/>
  <c r="H213" i="4"/>
  <c r="I213" i="4"/>
  <c r="G214" i="4"/>
  <c r="H214" i="4"/>
  <c r="I214" i="4"/>
  <c r="G215" i="4"/>
  <c r="H215" i="4"/>
  <c r="I215" i="4"/>
  <c r="G216" i="4"/>
  <c r="H216" i="4"/>
  <c r="I216" i="4"/>
  <c r="G217" i="4"/>
  <c r="H217" i="4"/>
  <c r="I217" i="4"/>
  <c r="G218" i="4"/>
  <c r="H218" i="4"/>
  <c r="I218" i="4"/>
  <c r="G219" i="4"/>
  <c r="H219" i="4"/>
  <c r="I219" i="4"/>
  <c r="G220" i="4"/>
  <c r="H220" i="4"/>
  <c r="I220" i="4"/>
  <c r="G221" i="4"/>
  <c r="H221" i="4"/>
  <c r="I221" i="4"/>
  <c r="G222" i="4"/>
  <c r="H222" i="4"/>
  <c r="I222" i="4"/>
  <c r="G223" i="4"/>
  <c r="H223" i="4"/>
  <c r="I223" i="4"/>
  <c r="G224" i="4"/>
  <c r="H224" i="4"/>
  <c r="I224" i="4"/>
  <c r="G225" i="4"/>
  <c r="H225" i="4"/>
  <c r="I225" i="4"/>
  <c r="G226" i="4"/>
  <c r="H226" i="4"/>
  <c r="I226" i="4"/>
  <c r="G227" i="4"/>
  <c r="H227" i="4"/>
  <c r="I227" i="4"/>
  <c r="G228" i="4"/>
  <c r="H228" i="4"/>
  <c r="I228" i="4"/>
  <c r="G229" i="4"/>
  <c r="H229" i="4"/>
  <c r="I229" i="4"/>
  <c r="G230" i="4"/>
  <c r="H230" i="4"/>
  <c r="I230" i="4"/>
  <c r="G231" i="4"/>
  <c r="H231" i="4"/>
  <c r="I231" i="4"/>
  <c r="G232" i="4"/>
  <c r="H232" i="4"/>
  <c r="I232" i="4"/>
  <c r="G233" i="4"/>
  <c r="H233" i="4"/>
  <c r="I233" i="4"/>
  <c r="G234" i="4"/>
  <c r="H234" i="4"/>
  <c r="I234" i="4"/>
  <c r="G235" i="4"/>
  <c r="H235" i="4"/>
  <c r="I235" i="4"/>
  <c r="G236" i="4"/>
  <c r="H236" i="4"/>
  <c r="I236" i="4"/>
  <c r="G237" i="4"/>
  <c r="H237" i="4"/>
  <c r="I237" i="4"/>
  <c r="G238" i="4"/>
  <c r="H238" i="4"/>
  <c r="I238" i="4"/>
  <c r="G239" i="4"/>
  <c r="H239" i="4"/>
  <c r="I239" i="4"/>
  <c r="G240" i="4"/>
  <c r="H240" i="4"/>
  <c r="I240" i="4"/>
  <c r="G241" i="4"/>
  <c r="H241" i="4"/>
  <c r="I241" i="4"/>
  <c r="G242" i="4"/>
  <c r="H242" i="4"/>
  <c r="I242" i="4"/>
  <c r="G243" i="4"/>
  <c r="H243" i="4"/>
  <c r="I243" i="4"/>
  <c r="G244" i="4"/>
  <c r="H244" i="4"/>
  <c r="I244" i="4"/>
  <c r="G245" i="4"/>
  <c r="H245" i="4"/>
  <c r="I245" i="4"/>
  <c r="G246" i="4"/>
  <c r="H246" i="4"/>
  <c r="I246" i="4"/>
  <c r="G247" i="4"/>
  <c r="H247" i="4"/>
  <c r="I247" i="4"/>
  <c r="G248" i="4"/>
  <c r="H248" i="4"/>
  <c r="I248" i="4"/>
  <c r="G249" i="4"/>
  <c r="H249" i="4"/>
  <c r="I249" i="4"/>
  <c r="G250" i="4"/>
  <c r="H250" i="4"/>
  <c r="I250" i="4"/>
  <c r="G251" i="4"/>
  <c r="H251" i="4"/>
  <c r="I251" i="4"/>
  <c r="G252" i="4"/>
  <c r="H252" i="4"/>
  <c r="I252" i="4"/>
  <c r="G253" i="4"/>
  <c r="H253" i="4"/>
  <c r="I253" i="4"/>
  <c r="G254" i="4"/>
  <c r="H254" i="4"/>
  <c r="I254" i="4"/>
  <c r="G255" i="4"/>
  <c r="H255" i="4"/>
  <c r="I255" i="4"/>
  <c r="G256" i="4"/>
  <c r="H256" i="4"/>
  <c r="I256" i="4"/>
  <c r="G257" i="4"/>
  <c r="H257" i="4"/>
  <c r="I257" i="4"/>
  <c r="G258" i="4"/>
  <c r="H258" i="4"/>
  <c r="I258" i="4"/>
  <c r="G259" i="4"/>
  <c r="H259" i="4"/>
  <c r="I259" i="4"/>
  <c r="G260" i="4"/>
  <c r="H260" i="4"/>
  <c r="I260" i="4"/>
  <c r="G261" i="4"/>
  <c r="H261" i="4"/>
  <c r="I261" i="4"/>
  <c r="G262" i="4"/>
  <c r="H262" i="4"/>
  <c r="I262" i="4"/>
  <c r="G263" i="4"/>
  <c r="H263" i="4"/>
  <c r="I263" i="4"/>
  <c r="G264" i="4"/>
  <c r="H264" i="4"/>
  <c r="I264" i="4"/>
  <c r="G265" i="4"/>
  <c r="H265" i="4"/>
  <c r="I265" i="4"/>
  <c r="G266" i="4"/>
  <c r="H266" i="4"/>
  <c r="I266" i="4"/>
  <c r="G267" i="4"/>
  <c r="H267" i="4"/>
  <c r="I267" i="4"/>
  <c r="G268" i="4"/>
  <c r="H268" i="4"/>
  <c r="I268" i="4"/>
  <c r="G269" i="4"/>
  <c r="H269" i="4"/>
  <c r="I269" i="4"/>
  <c r="G270" i="4"/>
  <c r="H270" i="4"/>
  <c r="I270" i="4"/>
  <c r="G271" i="4"/>
  <c r="H271" i="4"/>
  <c r="I271" i="4"/>
  <c r="G272" i="4"/>
  <c r="H272" i="4"/>
  <c r="I272" i="4"/>
  <c r="G273" i="4"/>
  <c r="H273" i="4"/>
  <c r="I273" i="4"/>
  <c r="G274" i="4"/>
  <c r="H274" i="4"/>
  <c r="I274" i="4"/>
  <c r="G275" i="4"/>
  <c r="H275" i="4"/>
  <c r="I275" i="4"/>
  <c r="G276" i="4"/>
  <c r="H276" i="4"/>
  <c r="I276" i="4"/>
  <c r="G277" i="4"/>
  <c r="H277" i="4"/>
  <c r="I277" i="4"/>
  <c r="G278" i="4"/>
  <c r="H278" i="4"/>
  <c r="I278" i="4"/>
  <c r="G279" i="4"/>
  <c r="H279" i="4"/>
  <c r="I279" i="4"/>
  <c r="G280" i="4"/>
  <c r="H280" i="4"/>
  <c r="I280" i="4"/>
  <c r="G281" i="4"/>
  <c r="H281" i="4"/>
  <c r="I281" i="4"/>
  <c r="G282" i="4"/>
  <c r="H282" i="4"/>
  <c r="I282" i="4"/>
  <c r="G283" i="4"/>
  <c r="H283" i="4"/>
  <c r="I283" i="4"/>
  <c r="G284" i="4"/>
  <c r="H284" i="4"/>
  <c r="I284" i="4"/>
  <c r="G285" i="4"/>
  <c r="H285" i="4"/>
  <c r="I285" i="4"/>
  <c r="G286" i="4"/>
  <c r="H286" i="4"/>
  <c r="I286" i="4"/>
  <c r="G287" i="4"/>
  <c r="H287" i="4"/>
  <c r="I287" i="4"/>
  <c r="G288" i="4"/>
  <c r="H288" i="4"/>
  <c r="I288" i="4"/>
  <c r="G289" i="4"/>
  <c r="H289" i="4"/>
  <c r="I289" i="4"/>
  <c r="G290" i="4"/>
  <c r="H290" i="4"/>
  <c r="I290" i="4"/>
  <c r="G291" i="4"/>
  <c r="H291" i="4"/>
  <c r="I291" i="4"/>
  <c r="G292" i="4"/>
  <c r="H292" i="4"/>
  <c r="I292" i="4"/>
  <c r="G293" i="4"/>
  <c r="H293" i="4"/>
  <c r="I293" i="4"/>
  <c r="G294" i="4"/>
  <c r="H294" i="4"/>
  <c r="I294" i="4"/>
  <c r="G295" i="4"/>
  <c r="H295" i="4"/>
  <c r="I295" i="4"/>
  <c r="G296" i="4"/>
  <c r="H296" i="4"/>
  <c r="I296" i="4"/>
  <c r="G297" i="4"/>
  <c r="H297" i="4"/>
  <c r="I297" i="4"/>
  <c r="G298" i="4"/>
  <c r="H298" i="4"/>
  <c r="I298" i="4"/>
  <c r="G299" i="4"/>
  <c r="H299" i="4"/>
  <c r="I299" i="4"/>
  <c r="G300" i="4"/>
  <c r="H300" i="4"/>
  <c r="I300" i="4"/>
  <c r="G301" i="4"/>
  <c r="H301" i="4"/>
  <c r="I301" i="4"/>
  <c r="G102" i="4"/>
  <c r="H102" i="4"/>
  <c r="I102" i="4"/>
  <c r="G101" i="4"/>
  <c r="H101" i="4"/>
  <c r="I101" i="4"/>
  <c r="G98" i="4"/>
  <c r="H98" i="4"/>
  <c r="I98" i="4"/>
  <c r="G92" i="4"/>
  <c r="H92" i="4"/>
  <c r="I92" i="4"/>
  <c r="G93" i="4"/>
  <c r="H93" i="4"/>
  <c r="I93" i="4"/>
  <c r="G94" i="4"/>
  <c r="H94" i="4"/>
  <c r="I94" i="4"/>
  <c r="G95" i="4"/>
  <c r="H95" i="4"/>
  <c r="I95" i="4"/>
  <c r="G96" i="4"/>
  <c r="H96" i="4"/>
  <c r="I96" i="4"/>
  <c r="G97" i="4"/>
  <c r="H97" i="4"/>
  <c r="I97" i="4"/>
  <c r="G85" i="4"/>
  <c r="H85" i="4"/>
  <c r="I85" i="4"/>
  <c r="G84" i="4"/>
  <c r="H84" i="4"/>
  <c r="I84" i="4"/>
  <c r="G78" i="4"/>
  <c r="H78" i="4"/>
  <c r="I78" i="4"/>
  <c r="G79" i="4"/>
  <c r="H79" i="4"/>
  <c r="I79" i="4"/>
  <c r="G80" i="4"/>
  <c r="H80" i="4"/>
  <c r="I80" i="4"/>
  <c r="G81" i="4"/>
  <c r="H81" i="4"/>
  <c r="I81" i="4"/>
  <c r="G71" i="4"/>
  <c r="H71" i="4"/>
  <c r="I71" i="4"/>
  <c r="G72" i="4"/>
  <c r="H72" i="4"/>
  <c r="I72" i="4"/>
  <c r="G73" i="4"/>
  <c r="H73" i="4"/>
  <c r="I73" i="4"/>
  <c r="G74" i="4"/>
  <c r="H74" i="4"/>
  <c r="I74" i="4"/>
  <c r="G75" i="4"/>
  <c r="H75" i="4"/>
  <c r="I75" i="4"/>
  <c r="G67" i="4"/>
  <c r="H67" i="4"/>
  <c r="I67" i="4"/>
  <c r="G64" i="4"/>
  <c r="H64" i="4"/>
  <c r="I64" i="4"/>
  <c r="G63" i="4"/>
  <c r="H63" i="4"/>
  <c r="G62" i="4"/>
  <c r="H62" i="4"/>
  <c r="I62" i="4"/>
  <c r="G61" i="4"/>
  <c r="H61" i="4"/>
  <c r="I61" i="4"/>
  <c r="G55" i="4"/>
  <c r="H55" i="4"/>
  <c r="I55" i="4"/>
  <c r="G54" i="4"/>
  <c r="H54" i="4"/>
  <c r="I54" i="4"/>
  <c r="G53" i="4"/>
  <c r="H53" i="4"/>
  <c r="I53" i="4"/>
  <c r="G47" i="4"/>
  <c r="H47" i="4"/>
  <c r="I47" i="4"/>
  <c r="G42" i="4"/>
  <c r="H42" i="4"/>
  <c r="I42" i="4"/>
  <c r="G41" i="4"/>
  <c r="H41" i="4"/>
  <c r="I41" i="4"/>
  <c r="G40" i="4"/>
  <c r="H40" i="4"/>
  <c r="I40" i="4"/>
  <c r="G37" i="4"/>
  <c r="H37" i="4"/>
  <c r="I37" i="4"/>
  <c r="G36" i="4"/>
  <c r="H36" i="4"/>
  <c r="I36" i="4"/>
  <c r="G35" i="4"/>
  <c r="H35" i="4"/>
  <c r="I35" i="4"/>
  <c r="G34" i="4"/>
  <c r="H34" i="4"/>
  <c r="I34" i="4"/>
  <c r="G33" i="4"/>
  <c r="H33" i="4"/>
  <c r="I33" i="4"/>
  <c r="G30" i="4"/>
  <c r="H30" i="4"/>
  <c r="I30" i="4"/>
  <c r="G25" i="4"/>
  <c r="H25" i="4"/>
  <c r="I25" i="4"/>
  <c r="G24" i="4"/>
  <c r="H24" i="4"/>
  <c r="I24" i="4"/>
  <c r="G23" i="4"/>
  <c r="H23" i="4"/>
  <c r="I23" i="4"/>
  <c r="G22" i="4"/>
  <c r="H22" i="4"/>
  <c r="I22" i="4"/>
  <c r="G16" i="4"/>
  <c r="H16" i="4"/>
  <c r="I16" i="4"/>
  <c r="G9" i="4"/>
  <c r="H9" i="4"/>
  <c r="I9" i="4"/>
  <c r="G8" i="4"/>
  <c r="H8" i="4"/>
  <c r="I8" i="4"/>
  <c r="G5" i="4"/>
  <c r="H5" i="4"/>
  <c r="G2" i="4"/>
  <c r="H2" i="4"/>
  <c r="I107" i="4"/>
  <c r="H107" i="4"/>
  <c r="G107" i="4"/>
  <c r="I106" i="4"/>
  <c r="H106" i="4"/>
  <c r="G106" i="4"/>
  <c r="I105" i="4"/>
  <c r="H105" i="4"/>
  <c r="G105" i="4"/>
  <c r="I104" i="4"/>
  <c r="H104" i="4"/>
  <c r="G104" i="4"/>
  <c r="I103" i="4"/>
  <c r="H103" i="4"/>
  <c r="G103" i="4"/>
  <c r="I100" i="4"/>
  <c r="H100" i="4"/>
  <c r="G100" i="4"/>
  <c r="I99" i="4"/>
  <c r="H99" i="4"/>
  <c r="G99" i="4"/>
  <c r="I91" i="4"/>
  <c r="H91" i="4"/>
  <c r="G91" i="4"/>
  <c r="I90" i="4"/>
  <c r="H90" i="4"/>
  <c r="G90" i="4"/>
  <c r="I89" i="4"/>
  <c r="H89" i="4"/>
  <c r="G89" i="4"/>
  <c r="I88" i="4"/>
  <c r="H88" i="4"/>
  <c r="G88" i="4"/>
  <c r="I87" i="4"/>
  <c r="H87" i="4"/>
  <c r="G87" i="4"/>
  <c r="I86" i="4"/>
  <c r="H86" i="4"/>
  <c r="G86" i="4"/>
  <c r="I83" i="4"/>
  <c r="H83" i="4"/>
  <c r="G83" i="4"/>
  <c r="I82" i="4"/>
  <c r="H82" i="4"/>
  <c r="G82" i="4"/>
  <c r="I77" i="4"/>
  <c r="H77" i="4"/>
  <c r="G77" i="4"/>
  <c r="I76" i="4"/>
  <c r="H76" i="4"/>
  <c r="G76" i="4"/>
  <c r="I70" i="4"/>
  <c r="H70" i="4"/>
  <c r="G70" i="4"/>
  <c r="I69" i="4"/>
  <c r="H69" i="4"/>
  <c r="G69" i="4"/>
  <c r="I68" i="4"/>
  <c r="H68" i="4"/>
  <c r="G68" i="4"/>
  <c r="I66" i="4"/>
  <c r="H66" i="4"/>
  <c r="G66" i="4"/>
  <c r="I65" i="4"/>
  <c r="H65" i="4"/>
  <c r="G65" i="4"/>
  <c r="I60" i="4"/>
  <c r="H60" i="4"/>
  <c r="G60" i="4"/>
  <c r="I59" i="4"/>
  <c r="H59" i="4"/>
  <c r="G59" i="4"/>
  <c r="I58" i="4"/>
  <c r="H58" i="4"/>
  <c r="G58" i="4"/>
  <c r="I57" i="4"/>
  <c r="H57" i="4"/>
  <c r="G57" i="4"/>
  <c r="I56" i="4"/>
  <c r="H56" i="4"/>
  <c r="G56" i="4"/>
  <c r="I52" i="4"/>
  <c r="H52" i="4"/>
  <c r="G52" i="4"/>
  <c r="I51" i="4"/>
  <c r="H51" i="4"/>
  <c r="G51" i="4"/>
  <c r="I50" i="4"/>
  <c r="H50" i="4"/>
  <c r="G50" i="4"/>
  <c r="I49" i="4"/>
  <c r="H49" i="4"/>
  <c r="G49" i="4"/>
  <c r="I48" i="4"/>
  <c r="H48" i="4"/>
  <c r="G48" i="4"/>
  <c r="H46" i="4"/>
  <c r="G46" i="4"/>
  <c r="I45" i="4"/>
  <c r="H45" i="4"/>
  <c r="G45" i="4"/>
  <c r="I44" i="4"/>
  <c r="H44" i="4"/>
  <c r="G44" i="4"/>
  <c r="I43" i="4"/>
  <c r="H43" i="4"/>
  <c r="G43" i="4"/>
  <c r="I39" i="4"/>
  <c r="H39" i="4"/>
  <c r="G39" i="4"/>
  <c r="I38" i="4"/>
  <c r="H38" i="4"/>
  <c r="G38" i="4"/>
  <c r="I32" i="4"/>
  <c r="H32" i="4"/>
  <c r="G32" i="4"/>
  <c r="I31" i="4"/>
  <c r="H31" i="4"/>
  <c r="G31" i="4"/>
  <c r="I29" i="4"/>
  <c r="H29" i="4"/>
  <c r="G29" i="4"/>
  <c r="I28" i="4"/>
  <c r="H28" i="4"/>
  <c r="G28" i="4"/>
  <c r="I27" i="4"/>
  <c r="H27" i="4"/>
  <c r="G27" i="4"/>
  <c r="I26" i="4"/>
  <c r="H26" i="4"/>
  <c r="G26" i="4"/>
  <c r="I21" i="4"/>
  <c r="H21" i="4"/>
  <c r="G21" i="4"/>
  <c r="I20" i="4"/>
  <c r="H20" i="4"/>
  <c r="G20" i="4"/>
  <c r="I19" i="4"/>
  <c r="H19" i="4"/>
  <c r="G19" i="4"/>
  <c r="I18" i="4"/>
  <c r="H18" i="4"/>
  <c r="G18" i="4"/>
  <c r="I17" i="4"/>
  <c r="H17" i="4"/>
  <c r="G17" i="4"/>
  <c r="I15" i="4"/>
  <c r="H15" i="4"/>
  <c r="G15" i="4"/>
  <c r="I14" i="4"/>
  <c r="H14" i="4"/>
  <c r="G14" i="4"/>
  <c r="I13" i="4"/>
  <c r="H13" i="4"/>
  <c r="G13" i="4"/>
  <c r="I12" i="4"/>
  <c r="H12" i="4"/>
  <c r="G12" i="4"/>
  <c r="I11" i="4"/>
  <c r="H11" i="4"/>
  <c r="G11" i="4"/>
  <c r="I10" i="4"/>
  <c r="H10" i="4"/>
  <c r="G10" i="4"/>
  <c r="I7" i="4"/>
  <c r="H7" i="4"/>
  <c r="G7" i="4"/>
  <c r="I6" i="4"/>
  <c r="H6" i="4"/>
  <c r="G6" i="4"/>
  <c r="I4" i="4"/>
  <c r="H4" i="4"/>
  <c r="G4" i="4"/>
  <c r="I3" i="4"/>
  <c r="H3" i="4"/>
  <c r="G3" i="4"/>
  <c r="G308" i="3"/>
  <c r="G296" i="3"/>
  <c r="G285" i="3"/>
  <c r="G275" i="3"/>
  <c r="G265" i="3"/>
  <c r="G252" i="3"/>
  <c r="G223" i="3"/>
  <c r="G205" i="3"/>
  <c r="G201" i="3"/>
  <c r="G187" i="3"/>
  <c r="G186" i="3"/>
  <c r="G184" i="3"/>
  <c r="G183" i="3"/>
  <c r="G182" i="3"/>
  <c r="G175" i="3"/>
  <c r="G174" i="3"/>
  <c r="G172" i="3"/>
  <c r="G170" i="3"/>
  <c r="G166" i="3"/>
  <c r="G162" i="3"/>
  <c r="G119" i="3"/>
  <c r="G113" i="3"/>
  <c r="G108" i="3"/>
  <c r="G101" i="3"/>
  <c r="G42" i="3"/>
  <c r="G37" i="3"/>
  <c r="G35" i="3"/>
  <c r="G25" i="3"/>
  <c r="G8" i="3"/>
  <c r="H4" i="3"/>
  <c r="H6" i="3"/>
  <c r="H7" i="3"/>
  <c r="H10" i="3"/>
  <c r="H11" i="3"/>
  <c r="H12" i="3"/>
  <c r="H13" i="3"/>
  <c r="H14" i="3"/>
  <c r="H15" i="3"/>
  <c r="H17" i="3"/>
  <c r="H18" i="3"/>
  <c r="H19" i="3"/>
  <c r="H20" i="3"/>
  <c r="H21" i="3"/>
  <c r="H26" i="3"/>
  <c r="H27" i="3"/>
  <c r="H28" i="3"/>
  <c r="H29" i="3"/>
  <c r="H31" i="3"/>
  <c r="H32" i="3"/>
  <c r="H34" i="3"/>
  <c r="H38" i="3"/>
  <c r="H39" i="3"/>
  <c r="H41" i="3"/>
  <c r="H43" i="3"/>
  <c r="H44" i="3"/>
  <c r="H45" i="3"/>
  <c r="H46" i="3"/>
  <c r="H48" i="3"/>
  <c r="H49" i="3"/>
  <c r="H50" i="3"/>
  <c r="H51" i="3"/>
  <c r="H52" i="3"/>
  <c r="H56" i="3"/>
  <c r="H57" i="3"/>
  <c r="H58" i="3"/>
  <c r="H59" i="3"/>
  <c r="H60" i="3"/>
  <c r="H62" i="3"/>
  <c r="H63" i="3"/>
  <c r="H65" i="3"/>
  <c r="H66" i="3"/>
  <c r="H68" i="3"/>
  <c r="H69" i="3"/>
  <c r="H70" i="3"/>
  <c r="H72" i="3"/>
  <c r="H73" i="3"/>
  <c r="H74" i="3"/>
  <c r="H75" i="3"/>
  <c r="H76" i="3"/>
  <c r="H77" i="3"/>
  <c r="H79" i="3"/>
  <c r="H80" i="3"/>
  <c r="H81" i="3"/>
  <c r="H82" i="3"/>
  <c r="H83" i="3"/>
  <c r="H87" i="3"/>
  <c r="H88" i="3"/>
  <c r="H89" i="3"/>
  <c r="H90" i="3"/>
  <c r="H91" i="3"/>
  <c r="H93" i="3"/>
  <c r="H94" i="3"/>
  <c r="H96" i="3"/>
  <c r="H97" i="3"/>
  <c r="H99" i="3"/>
  <c r="H100" i="3"/>
  <c r="H103" i="3"/>
  <c r="H104" i="3"/>
  <c r="H105" i="3"/>
  <c r="H106" i="3"/>
  <c r="H107" i="3"/>
  <c r="H110" i="3"/>
  <c r="H111" i="3"/>
  <c r="H112" i="3"/>
  <c r="H114" i="3"/>
  <c r="H118" i="3"/>
  <c r="H120" i="3"/>
  <c r="H121" i="3"/>
  <c r="H122" i="3"/>
  <c r="H124" i="3"/>
  <c r="H125" i="3"/>
  <c r="H127" i="3"/>
  <c r="H128" i="3"/>
  <c r="H130" i="3"/>
  <c r="H131" i="3"/>
  <c r="H132" i="3"/>
  <c r="H134" i="3"/>
  <c r="H135" i="3"/>
  <c r="H136" i="3"/>
  <c r="H137" i="3"/>
  <c r="H138" i="3"/>
  <c r="H139" i="3"/>
  <c r="H141" i="3"/>
  <c r="H142" i="3"/>
  <c r="H143" i="3"/>
  <c r="H144" i="3"/>
  <c r="H145" i="3"/>
  <c r="H149" i="3"/>
  <c r="H150" i="3"/>
  <c r="H151" i="3"/>
  <c r="H152" i="3"/>
  <c r="H153" i="3"/>
  <c r="H155" i="3"/>
  <c r="H156" i="3"/>
  <c r="H158" i="3"/>
  <c r="H159" i="3"/>
  <c r="H161" i="3"/>
  <c r="H163" i="3"/>
  <c r="H165" i="3"/>
  <c r="H167" i="3"/>
  <c r="H168" i="3"/>
  <c r="H169" i="3"/>
  <c r="H173" i="3"/>
  <c r="H176" i="3"/>
  <c r="H180" i="3"/>
  <c r="H181" i="3"/>
  <c r="H189" i="3"/>
  <c r="H190" i="3"/>
  <c r="H192" i="3"/>
  <c r="H193" i="3"/>
  <c r="H194" i="3"/>
  <c r="H196" i="3"/>
  <c r="H197" i="3"/>
  <c r="H198" i="3"/>
  <c r="H199" i="3"/>
  <c r="H200" i="3"/>
  <c r="H203" i="3"/>
  <c r="H204" i="3"/>
  <c r="H206" i="3"/>
  <c r="H207" i="3"/>
  <c r="H211" i="3"/>
  <c r="H212" i="3"/>
  <c r="H213" i="3"/>
  <c r="H214" i="3"/>
  <c r="H215" i="3"/>
  <c r="H217" i="3"/>
  <c r="H218" i="3"/>
  <c r="H220" i="3"/>
  <c r="H221" i="3"/>
  <c r="H224" i="3"/>
  <c r="H225" i="3"/>
  <c r="H227" i="3"/>
  <c r="H228" i="3"/>
  <c r="H229" i="3"/>
  <c r="H230" i="3"/>
  <c r="H231" i="3"/>
  <c r="H232" i="3"/>
  <c r="H234" i="3"/>
  <c r="H235" i="3"/>
  <c r="H236" i="3"/>
  <c r="H237" i="3"/>
  <c r="H238" i="3"/>
  <c r="H242" i="3"/>
  <c r="H243" i="3"/>
  <c r="H244" i="3"/>
  <c r="H245" i="3"/>
  <c r="H246" i="3"/>
  <c r="H248" i="3"/>
  <c r="H249" i="3"/>
  <c r="H251" i="3"/>
  <c r="H254" i="3"/>
  <c r="H255" i="3"/>
  <c r="H256" i="3"/>
  <c r="H258" i="3"/>
  <c r="H259" i="3"/>
  <c r="H260" i="3"/>
  <c r="H261" i="3"/>
  <c r="H262" i="3"/>
  <c r="H263" i="3"/>
  <c r="H266" i="3"/>
  <c r="H267" i="3"/>
  <c r="H268" i="3"/>
  <c r="H269" i="3"/>
  <c r="H273" i="3"/>
  <c r="H274" i="3"/>
  <c r="H276" i="3"/>
  <c r="H277" i="3"/>
  <c r="H279" i="3"/>
  <c r="H280" i="3"/>
  <c r="H282" i="3"/>
  <c r="H283" i="3"/>
  <c r="H286" i="3"/>
  <c r="H287" i="3"/>
  <c r="H289" i="3"/>
  <c r="H290" i="3"/>
  <c r="H291" i="3"/>
  <c r="H292" i="3"/>
  <c r="H293" i="3"/>
  <c r="H294" i="3"/>
  <c r="H297" i="3"/>
  <c r="H298" i="3"/>
  <c r="H299" i="3"/>
  <c r="H300" i="3"/>
  <c r="H304" i="3"/>
  <c r="H305" i="3"/>
  <c r="H306" i="3"/>
  <c r="H307" i="3"/>
  <c r="H310" i="3"/>
  <c r="H311" i="3"/>
  <c r="G282" i="3"/>
  <c r="G283" i="3"/>
  <c r="G286" i="3"/>
  <c r="G287" i="3"/>
  <c r="G289" i="3"/>
  <c r="G290" i="3"/>
  <c r="G291" i="3"/>
  <c r="G292" i="3"/>
  <c r="G293" i="3"/>
  <c r="G294" i="3"/>
  <c r="G297" i="3"/>
  <c r="G298" i="3"/>
  <c r="G299" i="3"/>
  <c r="G300" i="3"/>
  <c r="G304" i="3"/>
  <c r="G305" i="3"/>
  <c r="G306" i="3"/>
  <c r="G307" i="3"/>
  <c r="G310" i="3"/>
  <c r="G311" i="3"/>
  <c r="G280" i="3"/>
  <c r="G279" i="3"/>
  <c r="G277" i="3"/>
  <c r="G276" i="3"/>
  <c r="G274" i="3"/>
  <c r="G273" i="3"/>
  <c r="G269" i="3"/>
  <c r="G268" i="3"/>
  <c r="G267" i="3"/>
  <c r="G266" i="3"/>
  <c r="G263" i="3"/>
  <c r="G262" i="3"/>
  <c r="G261" i="3"/>
  <c r="G260" i="3"/>
  <c r="G259" i="3"/>
  <c r="G258" i="3"/>
  <c r="G256" i="3"/>
  <c r="G255" i="3"/>
  <c r="G254" i="3"/>
  <c r="G251" i="3"/>
  <c r="G249" i="3"/>
  <c r="G248" i="3"/>
  <c r="G246" i="3"/>
  <c r="G245" i="3"/>
  <c r="G244" i="3"/>
  <c r="G243" i="3"/>
  <c r="G242" i="3"/>
  <c r="G238" i="3"/>
  <c r="G237" i="3"/>
  <c r="G236" i="3"/>
  <c r="G235" i="3"/>
  <c r="G234" i="3"/>
  <c r="G232" i="3"/>
  <c r="G231" i="3"/>
  <c r="G230" i="3"/>
  <c r="G229" i="3"/>
  <c r="G228" i="3"/>
  <c r="G227" i="3"/>
  <c r="G225" i="3"/>
  <c r="G224" i="3"/>
  <c r="G221" i="3"/>
  <c r="G220" i="3"/>
  <c r="G218" i="3"/>
  <c r="G217" i="3"/>
  <c r="G215" i="3"/>
  <c r="G214" i="3"/>
  <c r="G213" i="3"/>
  <c r="G212" i="3"/>
  <c r="G211" i="3"/>
  <c r="G207" i="3"/>
  <c r="G206" i="3"/>
  <c r="G204" i="3"/>
  <c r="G203" i="3"/>
  <c r="G200" i="3"/>
  <c r="G199" i="3"/>
  <c r="G198" i="3"/>
  <c r="G197" i="3"/>
  <c r="G196" i="3"/>
  <c r="G194" i="3"/>
  <c r="G193" i="3"/>
  <c r="G192" i="3"/>
  <c r="G190" i="3"/>
  <c r="G189" i="3"/>
  <c r="G181" i="3"/>
  <c r="G180" i="3"/>
  <c r="G176" i="3"/>
  <c r="G173" i="3"/>
  <c r="G169" i="3"/>
  <c r="G168" i="3"/>
  <c r="G167" i="3"/>
  <c r="G165" i="3"/>
  <c r="G163" i="3"/>
  <c r="G161" i="3"/>
  <c r="G159" i="3"/>
  <c r="G158" i="3"/>
  <c r="G156" i="3"/>
  <c r="G155" i="3"/>
  <c r="G153" i="3"/>
  <c r="G152" i="3"/>
  <c r="G151" i="3"/>
  <c r="G150" i="3"/>
  <c r="G149" i="3"/>
  <c r="G145" i="3"/>
  <c r="G144" i="3"/>
  <c r="G143" i="3"/>
  <c r="G142" i="3"/>
  <c r="G141" i="3"/>
  <c r="G139" i="3"/>
  <c r="G138" i="3"/>
  <c r="G137" i="3"/>
  <c r="G136" i="3"/>
  <c r="G135" i="3"/>
  <c r="G134" i="3"/>
  <c r="G132" i="3"/>
  <c r="G131" i="3"/>
  <c r="G130" i="3"/>
  <c r="G128" i="3"/>
  <c r="G127" i="3"/>
  <c r="G125" i="3"/>
  <c r="G124" i="3"/>
  <c r="G122" i="3"/>
  <c r="G121" i="3"/>
  <c r="G120" i="3"/>
  <c r="G118" i="3"/>
  <c r="G114" i="3"/>
  <c r="G112" i="3"/>
  <c r="G111" i="3"/>
  <c r="G110" i="3"/>
  <c r="G107" i="3"/>
  <c r="G106" i="3"/>
  <c r="G105" i="3"/>
  <c r="G104" i="3"/>
  <c r="G103" i="3"/>
  <c r="G100" i="3"/>
  <c r="G99" i="3"/>
  <c r="G97" i="3"/>
  <c r="G96" i="3"/>
  <c r="G94" i="3"/>
  <c r="G93" i="3"/>
  <c r="G91" i="3"/>
  <c r="G90" i="3"/>
  <c r="G89" i="3"/>
  <c r="G88" i="3"/>
  <c r="G87" i="3"/>
  <c r="G83" i="3"/>
  <c r="G82" i="3"/>
  <c r="G81" i="3"/>
  <c r="G80" i="3"/>
  <c r="G79" i="3"/>
  <c r="G77" i="3"/>
  <c r="G76" i="3"/>
  <c r="G75" i="3"/>
  <c r="G74" i="3"/>
  <c r="G73" i="3"/>
  <c r="G72" i="3"/>
  <c r="G70" i="3"/>
  <c r="G69" i="3"/>
  <c r="G68" i="3"/>
  <c r="G66" i="3"/>
  <c r="G65" i="3"/>
  <c r="G63" i="3"/>
  <c r="G62" i="3"/>
  <c r="G60" i="3"/>
  <c r="G59" i="3"/>
  <c r="G58" i="3"/>
  <c r="G57" i="3"/>
  <c r="G56" i="3"/>
  <c r="G52" i="3"/>
  <c r="G51" i="3"/>
  <c r="G50" i="3"/>
  <c r="G49" i="3"/>
  <c r="G48" i="3"/>
  <c r="G46" i="3"/>
  <c r="G45" i="3"/>
  <c r="G44" i="3"/>
  <c r="G43" i="3"/>
  <c r="G41" i="3"/>
  <c r="G39" i="3"/>
  <c r="G38" i="3"/>
  <c r="G34" i="3"/>
  <c r="G32" i="3"/>
  <c r="G31" i="3"/>
  <c r="G29" i="3"/>
  <c r="G28" i="3"/>
  <c r="G27" i="3"/>
  <c r="G26" i="3"/>
  <c r="G21" i="3"/>
  <c r="G20" i="3"/>
  <c r="G19" i="3"/>
  <c r="G18" i="3"/>
  <c r="G17" i="3"/>
  <c r="G15" i="3"/>
  <c r="G14" i="3"/>
  <c r="G13" i="3"/>
  <c r="G12" i="3"/>
  <c r="G11" i="3"/>
  <c r="G10" i="3"/>
  <c r="G7" i="3"/>
  <c r="G6" i="3"/>
  <c r="G4" i="3"/>
  <c r="G3" i="3"/>
  <c r="H3" i="3"/>
  <c r="I311" i="3"/>
  <c r="I310" i="3"/>
  <c r="I307" i="3"/>
  <c r="I306" i="3"/>
  <c r="I305" i="3"/>
  <c r="I304" i="3"/>
  <c r="I300" i="3"/>
  <c r="I299" i="3"/>
  <c r="I298" i="3"/>
  <c r="I297" i="3"/>
  <c r="I294" i="3"/>
  <c r="I293" i="3"/>
  <c r="I292" i="3"/>
  <c r="I291" i="3"/>
  <c r="I290" i="3"/>
  <c r="I289" i="3"/>
  <c r="I287" i="3"/>
  <c r="I286" i="3"/>
  <c r="I283" i="3"/>
  <c r="I282" i="3"/>
  <c r="I280" i="3"/>
  <c r="I279" i="3"/>
  <c r="I277" i="3"/>
  <c r="I276" i="3"/>
  <c r="I274" i="3"/>
  <c r="I273" i="3"/>
  <c r="I269" i="3"/>
  <c r="I268" i="3"/>
  <c r="I267" i="3"/>
  <c r="I266" i="3"/>
  <c r="I263" i="3"/>
  <c r="I262" i="3"/>
  <c r="I261" i="3"/>
  <c r="I260" i="3"/>
  <c r="I259" i="3"/>
  <c r="I258" i="3"/>
  <c r="I256" i="3"/>
  <c r="I255" i="3"/>
  <c r="I254" i="3"/>
  <c r="I251" i="3"/>
  <c r="I249" i="3"/>
  <c r="I248" i="3"/>
  <c r="I246" i="3"/>
  <c r="I245" i="3"/>
  <c r="I244" i="3"/>
  <c r="I243" i="3"/>
  <c r="I242" i="3"/>
  <c r="I238" i="3"/>
  <c r="I237" i="3"/>
  <c r="I236" i="3"/>
  <c r="I235" i="3"/>
  <c r="I234" i="3"/>
  <c r="I232" i="3"/>
  <c r="I231" i="3"/>
  <c r="I230" i="3"/>
  <c r="I229" i="3"/>
  <c r="I228" i="3"/>
  <c r="I227" i="3"/>
  <c r="I225" i="3"/>
  <c r="I224" i="3"/>
  <c r="I221" i="3"/>
  <c r="I220" i="3"/>
  <c r="I218" i="3"/>
  <c r="I217" i="3"/>
  <c r="I215" i="3"/>
  <c r="I214" i="3"/>
  <c r="I213" i="3"/>
  <c r="I212" i="3"/>
  <c r="I211" i="3"/>
  <c r="I207" i="3"/>
  <c r="I206" i="3"/>
  <c r="I204" i="3"/>
  <c r="I203" i="3"/>
  <c r="I200" i="3"/>
  <c r="I199" i="3"/>
  <c r="I198" i="3"/>
  <c r="I197" i="3"/>
  <c r="I196" i="3"/>
  <c r="I194" i="3"/>
  <c r="I193" i="3"/>
  <c r="I192" i="3"/>
  <c r="I190" i="3"/>
  <c r="I189" i="3"/>
  <c r="I181" i="3"/>
  <c r="I180" i="3"/>
  <c r="I176" i="3"/>
  <c r="I173" i="3"/>
  <c r="I169" i="3"/>
  <c r="I168" i="3"/>
  <c r="I167" i="3"/>
  <c r="I165" i="3"/>
  <c r="I163" i="3"/>
  <c r="I161" i="3"/>
  <c r="I159" i="3"/>
  <c r="I158" i="3"/>
  <c r="I156" i="3"/>
  <c r="I155" i="3"/>
  <c r="I153" i="3"/>
  <c r="I152" i="3"/>
  <c r="I151" i="3"/>
  <c r="I150" i="3"/>
  <c r="I149" i="3"/>
  <c r="I145" i="3"/>
  <c r="I144" i="3"/>
  <c r="I143" i="3"/>
  <c r="I142" i="3"/>
  <c r="I141" i="3"/>
  <c r="I139" i="3"/>
  <c r="I138" i="3"/>
  <c r="I137" i="3"/>
  <c r="I136" i="3"/>
  <c r="I135" i="3"/>
  <c r="I134" i="3"/>
  <c r="I132" i="3"/>
  <c r="I131" i="3"/>
  <c r="I130" i="3"/>
  <c r="I128" i="3"/>
  <c r="I127" i="3"/>
  <c r="I125" i="3"/>
  <c r="I124" i="3"/>
  <c r="I122" i="3"/>
  <c r="I121" i="3"/>
  <c r="I120" i="3"/>
  <c r="I118" i="3"/>
  <c r="I114" i="3"/>
  <c r="I112" i="3"/>
  <c r="I111" i="3"/>
  <c r="I110" i="3"/>
  <c r="I107" i="3"/>
  <c r="I106" i="3"/>
  <c r="I105" i="3"/>
  <c r="I104" i="3"/>
  <c r="I103" i="3"/>
  <c r="I100" i="3"/>
  <c r="I99" i="3"/>
  <c r="I97" i="3"/>
  <c r="I96" i="3"/>
  <c r="I94" i="3"/>
  <c r="I93" i="3"/>
  <c r="I91" i="3"/>
  <c r="I90" i="3"/>
  <c r="I89" i="3"/>
  <c r="I88" i="3"/>
  <c r="I87" i="3"/>
  <c r="I83" i="3"/>
  <c r="I82" i="3"/>
  <c r="I81" i="3"/>
  <c r="I80" i="3"/>
  <c r="I79" i="3"/>
  <c r="I77" i="3"/>
  <c r="I76" i="3"/>
  <c r="I75" i="3"/>
  <c r="I74" i="3"/>
  <c r="I73" i="3"/>
  <c r="I72" i="3"/>
  <c r="I70" i="3"/>
  <c r="I69" i="3"/>
  <c r="I68" i="3"/>
  <c r="I66" i="3"/>
  <c r="I65" i="3"/>
  <c r="I63" i="3"/>
  <c r="I62" i="3"/>
  <c r="I60" i="3"/>
  <c r="I59" i="3"/>
  <c r="I58" i="3"/>
  <c r="I57" i="3"/>
  <c r="I56" i="3"/>
  <c r="I52" i="3"/>
  <c r="I51" i="3"/>
  <c r="I50" i="3"/>
  <c r="I49" i="3"/>
  <c r="I48" i="3"/>
  <c r="I46" i="3"/>
  <c r="I45" i="3"/>
  <c r="I44" i="3"/>
  <c r="I43" i="3"/>
  <c r="I41" i="3"/>
  <c r="I39" i="3"/>
  <c r="I38" i="3"/>
  <c r="I34" i="3"/>
  <c r="I32" i="3"/>
  <c r="I31" i="3"/>
  <c r="I29" i="3"/>
  <c r="I28" i="3"/>
  <c r="I27" i="3"/>
  <c r="I26" i="3"/>
  <c r="I21" i="3"/>
  <c r="I20" i="3"/>
  <c r="I19" i="3"/>
  <c r="I18" i="3"/>
  <c r="I17" i="3"/>
  <c r="I15" i="3"/>
  <c r="I14" i="3"/>
  <c r="I13" i="3"/>
  <c r="I12" i="3"/>
  <c r="I11" i="3"/>
  <c r="I10" i="3"/>
  <c r="I7" i="3"/>
  <c r="I6" i="3"/>
  <c r="I4" i="3"/>
  <c r="I3" i="3"/>
  <c r="C275" i="2" l="1"/>
  <c r="C268" i="2"/>
  <c r="C261" i="2"/>
  <c r="C254" i="2"/>
  <c r="C247" i="2"/>
  <c r="C240" i="2"/>
  <c r="C233" i="2"/>
  <c r="C226" i="2"/>
  <c r="C219" i="2"/>
  <c r="C212" i="2"/>
  <c r="C205" i="2"/>
  <c r="C198" i="2"/>
  <c r="C191" i="2"/>
  <c r="C184" i="2"/>
  <c r="C177" i="2"/>
  <c r="C170" i="2"/>
  <c r="C163" i="2"/>
  <c r="C156" i="2"/>
  <c r="C149" i="2"/>
  <c r="C142" i="2"/>
  <c r="C135" i="2"/>
  <c r="C128" i="2"/>
  <c r="C121" i="2"/>
  <c r="C114" i="2"/>
  <c r="C107" i="2"/>
  <c r="C100" i="2"/>
  <c r="C93" i="2"/>
  <c r="C86" i="2"/>
  <c r="C79" i="2"/>
  <c r="C72" i="2"/>
  <c r="C65" i="2"/>
  <c r="C58" i="2"/>
  <c r="C51" i="2"/>
  <c r="C44" i="2"/>
  <c r="C37" i="2"/>
  <c r="C30" i="2"/>
  <c r="C23" i="2"/>
  <c r="C16" i="2"/>
  <c r="C9" i="2"/>
  <c r="H28" i="2" l="1"/>
  <c r="H3" i="2"/>
  <c r="H4" i="2"/>
  <c r="H5" i="2"/>
  <c r="H6" i="2"/>
  <c r="H7" i="2"/>
  <c r="H8" i="2"/>
  <c r="H10" i="2"/>
  <c r="H11" i="2"/>
  <c r="H12" i="2"/>
  <c r="H13" i="2"/>
  <c r="H14" i="2"/>
  <c r="H15" i="2"/>
  <c r="H17" i="2"/>
  <c r="H18" i="2"/>
  <c r="H19" i="2"/>
  <c r="H20" i="2"/>
  <c r="H21" i="2"/>
  <c r="H22" i="2"/>
  <c r="H24" i="2"/>
  <c r="H25" i="2"/>
  <c r="H26" i="2"/>
  <c r="H27" i="2"/>
  <c r="H29" i="2"/>
  <c r="H31" i="2"/>
  <c r="H32" i="2"/>
  <c r="H33" i="2"/>
  <c r="H34" i="2"/>
  <c r="H35" i="2"/>
  <c r="H36" i="2"/>
  <c r="H38" i="2"/>
  <c r="H39" i="2"/>
  <c r="H40" i="2"/>
  <c r="H41" i="2"/>
  <c r="H42" i="2"/>
  <c r="H43" i="2"/>
  <c r="H45" i="2"/>
  <c r="H46" i="2"/>
  <c r="H47" i="2"/>
  <c r="H48" i="2"/>
  <c r="H49" i="2"/>
  <c r="H50" i="2"/>
  <c r="H52" i="2"/>
  <c r="H53" i="2"/>
  <c r="H54" i="2"/>
  <c r="H55" i="2"/>
  <c r="H56" i="2"/>
  <c r="H57" i="2"/>
  <c r="H59" i="2"/>
  <c r="H60" i="2"/>
  <c r="H61" i="2"/>
  <c r="H62" i="2"/>
  <c r="H63" i="2"/>
  <c r="H64" i="2"/>
  <c r="H66" i="2"/>
  <c r="H67" i="2"/>
  <c r="H68" i="2"/>
  <c r="H69" i="2"/>
  <c r="H70" i="2"/>
  <c r="H71" i="2"/>
  <c r="H73" i="2"/>
  <c r="H74" i="2"/>
  <c r="H75" i="2"/>
  <c r="H76" i="2"/>
  <c r="H77" i="2"/>
  <c r="H78" i="2"/>
  <c r="H80" i="2"/>
  <c r="H81" i="2"/>
  <c r="H82" i="2"/>
  <c r="H83" i="2"/>
  <c r="H84" i="2"/>
  <c r="H85" i="2"/>
  <c r="H87" i="2"/>
  <c r="H88" i="2"/>
  <c r="H89" i="2"/>
  <c r="H90" i="2"/>
  <c r="H91" i="2"/>
  <c r="H92" i="2"/>
  <c r="H94" i="2"/>
  <c r="H95" i="2"/>
  <c r="H96" i="2"/>
  <c r="H97" i="2"/>
  <c r="H98" i="2"/>
  <c r="H99" i="2"/>
  <c r="H101" i="2"/>
  <c r="H102" i="2"/>
  <c r="H103" i="2"/>
  <c r="H104" i="2"/>
  <c r="H105" i="2"/>
  <c r="H106" i="2"/>
  <c r="H108" i="2"/>
  <c r="H109" i="2"/>
  <c r="H110" i="2"/>
  <c r="H111" i="2"/>
  <c r="H112" i="2"/>
  <c r="H113" i="2"/>
  <c r="H115" i="2"/>
  <c r="H116" i="2"/>
  <c r="H117" i="2"/>
  <c r="H118" i="2"/>
  <c r="H119" i="2"/>
  <c r="H120" i="2"/>
  <c r="H122" i="2"/>
  <c r="H123" i="2"/>
  <c r="H124" i="2"/>
  <c r="H125" i="2"/>
  <c r="H126" i="2"/>
  <c r="H127" i="2"/>
  <c r="H129" i="2"/>
  <c r="H130" i="2"/>
  <c r="H131" i="2"/>
  <c r="H132" i="2"/>
  <c r="H133" i="2"/>
  <c r="H134" i="2"/>
  <c r="H136" i="2"/>
  <c r="H137" i="2"/>
  <c r="H138" i="2"/>
  <c r="H139" i="2"/>
  <c r="H140" i="2"/>
  <c r="H141" i="2"/>
  <c r="H143" i="2"/>
  <c r="H144" i="2"/>
  <c r="H145" i="2"/>
  <c r="H146" i="2"/>
  <c r="H147" i="2"/>
  <c r="H148" i="2"/>
  <c r="H150" i="2"/>
  <c r="H151" i="2"/>
  <c r="H152" i="2"/>
  <c r="H153" i="2"/>
  <c r="H154" i="2"/>
  <c r="H155" i="2"/>
  <c r="H157" i="2"/>
  <c r="H158" i="2"/>
  <c r="H159" i="2"/>
  <c r="H160" i="2"/>
  <c r="H161" i="2"/>
  <c r="H162" i="2"/>
  <c r="H164" i="2"/>
  <c r="H165" i="2"/>
  <c r="H166" i="2"/>
  <c r="H167" i="2"/>
  <c r="H168" i="2"/>
  <c r="H169" i="2"/>
  <c r="H171" i="2"/>
  <c r="H172" i="2"/>
  <c r="H173" i="2"/>
  <c r="H174" i="2"/>
  <c r="H175" i="2"/>
  <c r="H176" i="2"/>
  <c r="H178" i="2"/>
  <c r="H179" i="2"/>
  <c r="H180" i="2"/>
  <c r="H181" i="2"/>
  <c r="H182" i="2"/>
  <c r="H183" i="2"/>
  <c r="H185" i="2"/>
  <c r="H186" i="2"/>
  <c r="H187" i="2"/>
  <c r="H188" i="2"/>
  <c r="H189" i="2"/>
  <c r="H190" i="2"/>
  <c r="H192" i="2"/>
  <c r="H193" i="2"/>
  <c r="H194" i="2"/>
  <c r="H195" i="2"/>
  <c r="H196" i="2"/>
  <c r="H197" i="2"/>
  <c r="H199" i="2"/>
  <c r="H200" i="2"/>
  <c r="H201" i="2"/>
  <c r="H202" i="2"/>
  <c r="H203" i="2"/>
  <c r="H204" i="2"/>
  <c r="H206" i="2"/>
  <c r="H207" i="2"/>
  <c r="H208" i="2"/>
  <c r="H209" i="2"/>
  <c r="H210" i="2"/>
  <c r="H211" i="2"/>
  <c r="H213" i="2"/>
  <c r="H214" i="2"/>
  <c r="H215" i="2"/>
  <c r="H216" i="2"/>
  <c r="H217" i="2"/>
  <c r="H218" i="2"/>
  <c r="H220" i="2"/>
  <c r="H221" i="2"/>
  <c r="H222" i="2"/>
  <c r="H223" i="2"/>
  <c r="H224" i="2"/>
  <c r="H225" i="2"/>
  <c r="H227" i="2"/>
  <c r="H228" i="2"/>
  <c r="H229" i="2"/>
  <c r="H230" i="2"/>
  <c r="H231" i="2"/>
  <c r="H232" i="2"/>
  <c r="H234" i="2"/>
  <c r="H235" i="2"/>
  <c r="H236" i="2"/>
  <c r="H237" i="2"/>
  <c r="H238" i="2"/>
  <c r="H239" i="2"/>
  <c r="H241" i="2"/>
  <c r="H242" i="2"/>
  <c r="H243" i="2"/>
  <c r="H244" i="2"/>
  <c r="H245" i="2"/>
  <c r="H246" i="2"/>
  <c r="H248" i="2"/>
  <c r="H249" i="2"/>
  <c r="H250" i="2"/>
  <c r="H251" i="2"/>
  <c r="H252" i="2"/>
  <c r="H253" i="2"/>
  <c r="H255" i="2"/>
  <c r="H256" i="2"/>
  <c r="H257" i="2"/>
  <c r="H258" i="2"/>
  <c r="H259" i="2"/>
  <c r="H260" i="2"/>
  <c r="H262" i="2"/>
  <c r="H263" i="2"/>
  <c r="H264" i="2"/>
  <c r="H265" i="2"/>
  <c r="H266" i="2"/>
  <c r="H267" i="2"/>
  <c r="H269" i="2"/>
  <c r="H270" i="2"/>
  <c r="H271" i="2"/>
  <c r="H272" i="2"/>
  <c r="H273" i="2"/>
  <c r="H274" i="2"/>
  <c r="H276" i="2"/>
  <c r="H277" i="2"/>
  <c r="H278" i="2"/>
  <c r="H279" i="2"/>
  <c r="H280" i="2"/>
  <c r="H281" i="2"/>
  <c r="I3" i="2"/>
  <c r="I4" i="2"/>
  <c r="I5" i="2"/>
  <c r="I6" i="2"/>
  <c r="I7" i="2"/>
  <c r="I8" i="2"/>
  <c r="I10" i="2"/>
  <c r="I11" i="2"/>
  <c r="I12" i="2"/>
  <c r="I13" i="2"/>
  <c r="I14" i="2"/>
  <c r="I15" i="2"/>
  <c r="I17" i="2"/>
  <c r="I18" i="2"/>
  <c r="I19" i="2"/>
  <c r="I20" i="2"/>
  <c r="I21" i="2"/>
  <c r="I22" i="2"/>
  <c r="I24" i="2"/>
  <c r="I25" i="2"/>
  <c r="I26" i="2"/>
  <c r="I27" i="2"/>
  <c r="I28" i="2"/>
  <c r="I29" i="2"/>
  <c r="I31" i="2"/>
  <c r="I32" i="2"/>
  <c r="I33" i="2"/>
  <c r="I34" i="2"/>
  <c r="I35" i="2"/>
  <c r="I36" i="2"/>
  <c r="I38" i="2"/>
  <c r="I39" i="2"/>
  <c r="I40" i="2"/>
  <c r="I41" i="2"/>
  <c r="I42" i="2"/>
  <c r="I43" i="2"/>
  <c r="I45" i="2"/>
  <c r="I46" i="2"/>
  <c r="I47" i="2"/>
  <c r="I48" i="2"/>
  <c r="I49" i="2"/>
  <c r="I50" i="2"/>
  <c r="I52" i="2"/>
  <c r="I53" i="2"/>
  <c r="I54" i="2"/>
  <c r="I55" i="2"/>
  <c r="I56" i="2"/>
  <c r="I57" i="2"/>
  <c r="I59" i="2"/>
  <c r="I60" i="2"/>
  <c r="I61" i="2"/>
  <c r="I62" i="2"/>
  <c r="I63" i="2"/>
  <c r="I64" i="2"/>
  <c r="I66" i="2"/>
  <c r="I67" i="2"/>
  <c r="I68" i="2"/>
  <c r="I69" i="2"/>
  <c r="I70" i="2"/>
  <c r="I71" i="2"/>
  <c r="I73" i="2"/>
  <c r="I74" i="2"/>
  <c r="I75" i="2"/>
  <c r="I76" i="2"/>
  <c r="I77" i="2"/>
  <c r="I78" i="2"/>
  <c r="I80" i="2"/>
  <c r="I81" i="2"/>
  <c r="I82" i="2"/>
  <c r="I83" i="2"/>
  <c r="I84" i="2"/>
  <c r="I85" i="2"/>
  <c r="I87" i="2"/>
  <c r="I88" i="2"/>
  <c r="I89" i="2"/>
  <c r="I90" i="2"/>
  <c r="I91" i="2"/>
  <c r="I92" i="2"/>
  <c r="I94" i="2"/>
  <c r="I95" i="2"/>
  <c r="I96" i="2"/>
  <c r="I97" i="2"/>
  <c r="I98" i="2"/>
  <c r="I99" i="2"/>
  <c r="I101" i="2"/>
  <c r="I102" i="2"/>
  <c r="I103" i="2"/>
  <c r="I104" i="2"/>
  <c r="I105" i="2"/>
  <c r="I106" i="2"/>
  <c r="I108" i="2"/>
  <c r="I109" i="2"/>
  <c r="I110" i="2"/>
  <c r="I111" i="2"/>
  <c r="I112" i="2"/>
  <c r="I113" i="2"/>
  <c r="I115" i="2"/>
  <c r="I116" i="2"/>
  <c r="I117" i="2"/>
  <c r="I118" i="2"/>
  <c r="I119" i="2"/>
  <c r="I120" i="2"/>
  <c r="I122" i="2"/>
  <c r="I123" i="2"/>
  <c r="I124" i="2"/>
  <c r="I125" i="2"/>
  <c r="I126" i="2"/>
  <c r="I127" i="2"/>
  <c r="I129" i="2"/>
  <c r="I130" i="2"/>
  <c r="I131" i="2"/>
  <c r="I132" i="2"/>
  <c r="I133" i="2"/>
  <c r="I134" i="2"/>
  <c r="I136" i="2"/>
  <c r="I137" i="2"/>
  <c r="I138" i="2"/>
  <c r="I139" i="2"/>
  <c r="I140" i="2"/>
  <c r="I141" i="2"/>
  <c r="I143" i="2"/>
  <c r="I144" i="2"/>
  <c r="I145" i="2"/>
  <c r="I146" i="2"/>
  <c r="I147" i="2"/>
  <c r="I148" i="2"/>
  <c r="I150" i="2"/>
  <c r="I151" i="2"/>
  <c r="I152" i="2"/>
  <c r="I153" i="2"/>
  <c r="I154" i="2"/>
  <c r="I155" i="2"/>
  <c r="I157" i="2"/>
  <c r="I158" i="2"/>
  <c r="I159" i="2"/>
  <c r="I160" i="2"/>
  <c r="I161" i="2"/>
  <c r="I162" i="2"/>
  <c r="I164" i="2"/>
  <c r="I165" i="2"/>
  <c r="I166" i="2"/>
  <c r="I167" i="2"/>
  <c r="I168" i="2"/>
  <c r="I169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2" i="2"/>
  <c r="I193" i="2"/>
  <c r="I194" i="2"/>
  <c r="I195" i="2"/>
  <c r="I196" i="2"/>
  <c r="I197" i="2"/>
  <c r="I199" i="2"/>
  <c r="I200" i="2"/>
  <c r="I201" i="2"/>
  <c r="I202" i="2"/>
  <c r="I203" i="2"/>
  <c r="I204" i="2"/>
  <c r="I206" i="2"/>
  <c r="I207" i="2"/>
  <c r="I208" i="2"/>
  <c r="I209" i="2"/>
  <c r="I210" i="2"/>
  <c r="I211" i="2"/>
  <c r="I213" i="2"/>
  <c r="I214" i="2"/>
  <c r="I215" i="2"/>
  <c r="I216" i="2"/>
  <c r="I217" i="2"/>
  <c r="I218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4" i="2"/>
  <c r="I235" i="2"/>
  <c r="I236" i="2"/>
  <c r="I237" i="2"/>
  <c r="I238" i="2"/>
  <c r="I239" i="2"/>
  <c r="I241" i="2"/>
  <c r="I242" i="2"/>
  <c r="I243" i="2"/>
  <c r="I244" i="2"/>
  <c r="I245" i="2"/>
  <c r="I246" i="2"/>
  <c r="I248" i="2"/>
  <c r="I249" i="2"/>
  <c r="I250" i="2"/>
  <c r="I251" i="2"/>
  <c r="I252" i="2"/>
  <c r="I253" i="2"/>
  <c r="I255" i="2"/>
  <c r="I256" i="2"/>
  <c r="I257" i="2"/>
  <c r="I258" i="2"/>
  <c r="I259" i="2"/>
  <c r="I260" i="2"/>
  <c r="I262" i="2"/>
  <c r="I263" i="2"/>
  <c r="I264" i="2"/>
  <c r="I265" i="2"/>
  <c r="I266" i="2"/>
  <c r="I267" i="2"/>
  <c r="I269" i="2"/>
  <c r="I270" i="2"/>
  <c r="I271" i="2"/>
  <c r="I272" i="2"/>
  <c r="I273" i="2"/>
  <c r="I274" i="2"/>
  <c r="I276" i="2"/>
  <c r="I277" i="2"/>
  <c r="I278" i="2"/>
  <c r="I279" i="2"/>
  <c r="I280" i="2"/>
  <c r="I281" i="2"/>
  <c r="G2" i="1"/>
  <c r="C3" i="2"/>
  <c r="G3" i="2" s="1"/>
  <c r="C4" i="2"/>
  <c r="G4" i="2" s="1"/>
  <c r="C5" i="2"/>
  <c r="G5" i="2" s="1"/>
  <c r="C6" i="2"/>
  <c r="G6" i="2" s="1"/>
  <c r="C7" i="2"/>
  <c r="G7" i="2" s="1"/>
  <c r="C8" i="2"/>
  <c r="G8" i="2" s="1"/>
  <c r="C10" i="2"/>
  <c r="G10" i="2" s="1"/>
  <c r="C11" i="2"/>
  <c r="G11" i="2" s="1"/>
  <c r="C12" i="2"/>
  <c r="G12" i="2" s="1"/>
  <c r="C13" i="2"/>
  <c r="G13" i="2" s="1"/>
  <c r="C14" i="2"/>
  <c r="G14" i="2" s="1"/>
  <c r="C15" i="2"/>
  <c r="G15" i="2" s="1"/>
  <c r="C17" i="2"/>
  <c r="G17" i="2" s="1"/>
  <c r="C18" i="2"/>
  <c r="G18" i="2" s="1"/>
  <c r="C19" i="2"/>
  <c r="G19" i="2" s="1"/>
  <c r="C20" i="2"/>
  <c r="G20" i="2" s="1"/>
  <c r="C21" i="2"/>
  <c r="G21" i="2" s="1"/>
  <c r="C22" i="2"/>
  <c r="G22" i="2" s="1"/>
  <c r="C24" i="2"/>
  <c r="G24" i="2" s="1"/>
  <c r="C25" i="2"/>
  <c r="G25" i="2" s="1"/>
  <c r="C26" i="2"/>
  <c r="G26" i="2" s="1"/>
  <c r="C27" i="2"/>
  <c r="G27" i="2" s="1"/>
  <c r="C28" i="2"/>
  <c r="G28" i="2" s="1"/>
  <c r="C29" i="2"/>
  <c r="G29" i="2" s="1"/>
  <c r="C31" i="2"/>
  <c r="G31" i="2" s="1"/>
  <c r="C32" i="2"/>
  <c r="G32" i="2" s="1"/>
  <c r="C33" i="2"/>
  <c r="G33" i="2" s="1"/>
  <c r="C34" i="2"/>
  <c r="G34" i="2" s="1"/>
  <c r="C35" i="2"/>
  <c r="G35" i="2" s="1"/>
  <c r="C36" i="2"/>
  <c r="G36" i="2" s="1"/>
  <c r="C38" i="2"/>
  <c r="G38" i="2" s="1"/>
  <c r="C39" i="2"/>
  <c r="G39" i="2" s="1"/>
  <c r="C40" i="2"/>
  <c r="G40" i="2" s="1"/>
  <c r="C41" i="2"/>
  <c r="G41" i="2" s="1"/>
  <c r="C42" i="2"/>
  <c r="G42" i="2" s="1"/>
  <c r="C43" i="2"/>
  <c r="G43" i="2" s="1"/>
  <c r="C45" i="2"/>
  <c r="G45" i="2" s="1"/>
  <c r="C46" i="2"/>
  <c r="G46" i="2" s="1"/>
  <c r="C47" i="2"/>
  <c r="G47" i="2" s="1"/>
  <c r="C48" i="2"/>
  <c r="G48" i="2" s="1"/>
  <c r="C49" i="2"/>
  <c r="G49" i="2" s="1"/>
  <c r="C50" i="2"/>
  <c r="G50" i="2" s="1"/>
  <c r="C52" i="2"/>
  <c r="G52" i="2" s="1"/>
  <c r="C53" i="2"/>
  <c r="G53" i="2" s="1"/>
  <c r="C54" i="2"/>
  <c r="G54" i="2" s="1"/>
  <c r="C55" i="2"/>
  <c r="G55" i="2" s="1"/>
  <c r="C56" i="2"/>
  <c r="G56" i="2" s="1"/>
  <c r="C57" i="2"/>
  <c r="G57" i="2" s="1"/>
  <c r="C59" i="2"/>
  <c r="G59" i="2" s="1"/>
  <c r="C60" i="2"/>
  <c r="G60" i="2" s="1"/>
  <c r="C61" i="2"/>
  <c r="G61" i="2" s="1"/>
  <c r="C62" i="2"/>
  <c r="G62" i="2" s="1"/>
  <c r="C63" i="2"/>
  <c r="G63" i="2" s="1"/>
  <c r="C64" i="2"/>
  <c r="G64" i="2" s="1"/>
  <c r="C66" i="2"/>
  <c r="G66" i="2" s="1"/>
  <c r="C67" i="2"/>
  <c r="G67" i="2" s="1"/>
  <c r="C68" i="2"/>
  <c r="G68" i="2" s="1"/>
  <c r="C69" i="2"/>
  <c r="G69" i="2" s="1"/>
  <c r="C70" i="2"/>
  <c r="G70" i="2" s="1"/>
  <c r="C71" i="2"/>
  <c r="G71" i="2" s="1"/>
  <c r="C73" i="2"/>
  <c r="G73" i="2" s="1"/>
  <c r="C74" i="2"/>
  <c r="G74" i="2" s="1"/>
  <c r="C75" i="2"/>
  <c r="G75" i="2" s="1"/>
  <c r="C76" i="2"/>
  <c r="G76" i="2" s="1"/>
  <c r="C77" i="2"/>
  <c r="G77" i="2" s="1"/>
  <c r="C78" i="2"/>
  <c r="G78" i="2" s="1"/>
  <c r="C80" i="2"/>
  <c r="G80" i="2" s="1"/>
  <c r="C81" i="2"/>
  <c r="G81" i="2" s="1"/>
  <c r="C82" i="2"/>
  <c r="G82" i="2" s="1"/>
  <c r="C83" i="2"/>
  <c r="G83" i="2" s="1"/>
  <c r="C84" i="2"/>
  <c r="G84" i="2" s="1"/>
  <c r="C85" i="2"/>
  <c r="G85" i="2" s="1"/>
  <c r="C87" i="2"/>
  <c r="G87" i="2" s="1"/>
  <c r="C88" i="2"/>
  <c r="G88" i="2" s="1"/>
  <c r="C89" i="2"/>
  <c r="G89" i="2" s="1"/>
  <c r="C90" i="2"/>
  <c r="G90" i="2" s="1"/>
  <c r="C91" i="2"/>
  <c r="G91" i="2" s="1"/>
  <c r="C92" i="2"/>
  <c r="G92" i="2" s="1"/>
  <c r="C94" i="2"/>
  <c r="G94" i="2" s="1"/>
  <c r="C95" i="2"/>
  <c r="G95" i="2" s="1"/>
  <c r="C96" i="2"/>
  <c r="G96" i="2" s="1"/>
  <c r="C97" i="2"/>
  <c r="G97" i="2" s="1"/>
  <c r="C98" i="2"/>
  <c r="G98" i="2" s="1"/>
  <c r="C99" i="2"/>
  <c r="G99" i="2" s="1"/>
  <c r="C101" i="2"/>
  <c r="G101" i="2" s="1"/>
  <c r="C102" i="2"/>
  <c r="G102" i="2" s="1"/>
  <c r="C103" i="2"/>
  <c r="G103" i="2" s="1"/>
  <c r="C104" i="2"/>
  <c r="G104" i="2" s="1"/>
  <c r="C105" i="2"/>
  <c r="G105" i="2" s="1"/>
  <c r="C106" i="2"/>
  <c r="G106" i="2" s="1"/>
  <c r="C108" i="2"/>
  <c r="G108" i="2" s="1"/>
  <c r="C109" i="2"/>
  <c r="G109" i="2" s="1"/>
  <c r="C110" i="2"/>
  <c r="G110" i="2" s="1"/>
  <c r="C111" i="2"/>
  <c r="G111" i="2" s="1"/>
  <c r="C112" i="2"/>
  <c r="G112" i="2" s="1"/>
  <c r="C113" i="2"/>
  <c r="G113" i="2" s="1"/>
  <c r="C115" i="2"/>
  <c r="G115" i="2" s="1"/>
  <c r="C116" i="2"/>
  <c r="G116" i="2" s="1"/>
  <c r="C117" i="2"/>
  <c r="G117" i="2" s="1"/>
  <c r="C118" i="2"/>
  <c r="G118" i="2" s="1"/>
  <c r="C119" i="2"/>
  <c r="G119" i="2" s="1"/>
  <c r="C120" i="2"/>
  <c r="G120" i="2" s="1"/>
  <c r="C122" i="2"/>
  <c r="G122" i="2" s="1"/>
  <c r="C123" i="2"/>
  <c r="G123" i="2" s="1"/>
  <c r="C124" i="2"/>
  <c r="G124" i="2" s="1"/>
  <c r="C125" i="2"/>
  <c r="G125" i="2" s="1"/>
  <c r="C126" i="2"/>
  <c r="G126" i="2" s="1"/>
  <c r="C127" i="2"/>
  <c r="G127" i="2" s="1"/>
  <c r="C129" i="2"/>
  <c r="G129" i="2" s="1"/>
  <c r="C130" i="2"/>
  <c r="G130" i="2" s="1"/>
  <c r="C131" i="2"/>
  <c r="G131" i="2" s="1"/>
  <c r="C132" i="2"/>
  <c r="G132" i="2" s="1"/>
  <c r="C133" i="2"/>
  <c r="G133" i="2" s="1"/>
  <c r="C134" i="2"/>
  <c r="G134" i="2" s="1"/>
  <c r="C136" i="2"/>
  <c r="G136" i="2" s="1"/>
  <c r="C137" i="2"/>
  <c r="G137" i="2" s="1"/>
  <c r="C138" i="2"/>
  <c r="G138" i="2" s="1"/>
  <c r="C139" i="2"/>
  <c r="G139" i="2" s="1"/>
  <c r="C140" i="2"/>
  <c r="G140" i="2" s="1"/>
  <c r="C141" i="2"/>
  <c r="G141" i="2" s="1"/>
  <c r="C143" i="2"/>
  <c r="G143" i="2" s="1"/>
  <c r="C144" i="2"/>
  <c r="G144" i="2" s="1"/>
  <c r="C145" i="2"/>
  <c r="G145" i="2" s="1"/>
  <c r="C146" i="2"/>
  <c r="G146" i="2" s="1"/>
  <c r="C147" i="2"/>
  <c r="G147" i="2" s="1"/>
  <c r="C148" i="2"/>
  <c r="G148" i="2" s="1"/>
  <c r="C150" i="2"/>
  <c r="G150" i="2" s="1"/>
  <c r="C151" i="2"/>
  <c r="G151" i="2" s="1"/>
  <c r="C152" i="2"/>
  <c r="G152" i="2" s="1"/>
  <c r="C153" i="2"/>
  <c r="G153" i="2" s="1"/>
  <c r="C154" i="2"/>
  <c r="G154" i="2" s="1"/>
  <c r="C155" i="2"/>
  <c r="G155" i="2" s="1"/>
  <c r="C157" i="2"/>
  <c r="G157" i="2" s="1"/>
  <c r="C158" i="2"/>
  <c r="G158" i="2" s="1"/>
  <c r="C159" i="2"/>
  <c r="G159" i="2" s="1"/>
  <c r="C160" i="2"/>
  <c r="G160" i="2" s="1"/>
  <c r="C161" i="2"/>
  <c r="G161" i="2" s="1"/>
  <c r="C162" i="2"/>
  <c r="G162" i="2" s="1"/>
  <c r="C164" i="2"/>
  <c r="G164" i="2" s="1"/>
  <c r="C165" i="2"/>
  <c r="G165" i="2" s="1"/>
  <c r="C166" i="2"/>
  <c r="G166" i="2" s="1"/>
  <c r="C167" i="2"/>
  <c r="G167" i="2" s="1"/>
  <c r="C168" i="2"/>
  <c r="G168" i="2" s="1"/>
  <c r="C169" i="2"/>
  <c r="G169" i="2" s="1"/>
  <c r="C171" i="2"/>
  <c r="G171" i="2" s="1"/>
  <c r="C172" i="2"/>
  <c r="G172" i="2" s="1"/>
  <c r="C173" i="2"/>
  <c r="G173" i="2" s="1"/>
  <c r="C174" i="2"/>
  <c r="G174" i="2" s="1"/>
  <c r="C175" i="2"/>
  <c r="G175" i="2" s="1"/>
  <c r="C176" i="2"/>
  <c r="G176" i="2" s="1"/>
  <c r="C178" i="2"/>
  <c r="G178" i="2" s="1"/>
  <c r="C179" i="2"/>
  <c r="G179" i="2" s="1"/>
  <c r="C180" i="2"/>
  <c r="G180" i="2" s="1"/>
  <c r="C181" i="2"/>
  <c r="G181" i="2" s="1"/>
  <c r="C182" i="2"/>
  <c r="G182" i="2" s="1"/>
  <c r="C183" i="2"/>
  <c r="G183" i="2" s="1"/>
  <c r="C185" i="2"/>
  <c r="G185" i="2" s="1"/>
  <c r="C186" i="2"/>
  <c r="G186" i="2" s="1"/>
  <c r="C187" i="2"/>
  <c r="G187" i="2" s="1"/>
  <c r="C188" i="2"/>
  <c r="G188" i="2" s="1"/>
  <c r="C189" i="2"/>
  <c r="G189" i="2" s="1"/>
  <c r="C190" i="2"/>
  <c r="G190" i="2" s="1"/>
  <c r="C192" i="2"/>
  <c r="G192" i="2" s="1"/>
  <c r="C193" i="2"/>
  <c r="G193" i="2" s="1"/>
  <c r="C194" i="2"/>
  <c r="G194" i="2" s="1"/>
  <c r="C195" i="2"/>
  <c r="G195" i="2" s="1"/>
  <c r="C196" i="2"/>
  <c r="G196" i="2" s="1"/>
  <c r="C197" i="2"/>
  <c r="G197" i="2" s="1"/>
  <c r="C199" i="2"/>
  <c r="G199" i="2" s="1"/>
  <c r="C200" i="2"/>
  <c r="G200" i="2" s="1"/>
  <c r="C201" i="2"/>
  <c r="G201" i="2" s="1"/>
  <c r="C202" i="2"/>
  <c r="G202" i="2" s="1"/>
  <c r="C203" i="2"/>
  <c r="G203" i="2" s="1"/>
  <c r="C204" i="2"/>
  <c r="G204" i="2" s="1"/>
  <c r="C206" i="2"/>
  <c r="G206" i="2" s="1"/>
  <c r="C207" i="2"/>
  <c r="G207" i="2" s="1"/>
  <c r="C208" i="2"/>
  <c r="G208" i="2" s="1"/>
  <c r="C209" i="2"/>
  <c r="G209" i="2" s="1"/>
  <c r="C210" i="2"/>
  <c r="G210" i="2" s="1"/>
  <c r="C211" i="2"/>
  <c r="G211" i="2" s="1"/>
  <c r="C213" i="2"/>
  <c r="G213" i="2" s="1"/>
  <c r="C214" i="2"/>
  <c r="G214" i="2" s="1"/>
  <c r="C215" i="2"/>
  <c r="G215" i="2" s="1"/>
  <c r="C216" i="2"/>
  <c r="G216" i="2" s="1"/>
  <c r="C217" i="2"/>
  <c r="G217" i="2" s="1"/>
  <c r="C218" i="2"/>
  <c r="G218" i="2" s="1"/>
  <c r="C220" i="2"/>
  <c r="G220" i="2" s="1"/>
  <c r="C221" i="2"/>
  <c r="G221" i="2" s="1"/>
  <c r="C222" i="2"/>
  <c r="G222" i="2" s="1"/>
  <c r="C223" i="2"/>
  <c r="G223" i="2" s="1"/>
  <c r="C224" i="2"/>
  <c r="G224" i="2" s="1"/>
  <c r="C225" i="2"/>
  <c r="G225" i="2" s="1"/>
  <c r="C227" i="2"/>
  <c r="G227" i="2" s="1"/>
  <c r="C228" i="2"/>
  <c r="G228" i="2" s="1"/>
  <c r="C229" i="2"/>
  <c r="G229" i="2" s="1"/>
  <c r="C230" i="2"/>
  <c r="G230" i="2" s="1"/>
  <c r="C231" i="2"/>
  <c r="G231" i="2" s="1"/>
  <c r="C232" i="2"/>
  <c r="G232" i="2" s="1"/>
  <c r="C234" i="2"/>
  <c r="G234" i="2" s="1"/>
  <c r="C235" i="2"/>
  <c r="G235" i="2" s="1"/>
  <c r="C236" i="2"/>
  <c r="G236" i="2" s="1"/>
  <c r="C237" i="2"/>
  <c r="G237" i="2" s="1"/>
  <c r="C238" i="2"/>
  <c r="G238" i="2" s="1"/>
  <c r="C239" i="2"/>
  <c r="G239" i="2" s="1"/>
  <c r="C241" i="2"/>
  <c r="G241" i="2" s="1"/>
  <c r="C242" i="2"/>
  <c r="G242" i="2" s="1"/>
  <c r="C243" i="2"/>
  <c r="G243" i="2" s="1"/>
  <c r="C244" i="2"/>
  <c r="G244" i="2" s="1"/>
  <c r="C245" i="2"/>
  <c r="G245" i="2" s="1"/>
  <c r="C246" i="2"/>
  <c r="G246" i="2" s="1"/>
  <c r="C248" i="2"/>
  <c r="G248" i="2" s="1"/>
  <c r="C249" i="2"/>
  <c r="G249" i="2" s="1"/>
  <c r="C250" i="2"/>
  <c r="G250" i="2" s="1"/>
  <c r="C251" i="2"/>
  <c r="G251" i="2" s="1"/>
  <c r="C252" i="2"/>
  <c r="G252" i="2" s="1"/>
  <c r="C253" i="2"/>
  <c r="G253" i="2" s="1"/>
  <c r="C255" i="2"/>
  <c r="G255" i="2" s="1"/>
  <c r="C256" i="2"/>
  <c r="G256" i="2" s="1"/>
  <c r="C257" i="2"/>
  <c r="G257" i="2" s="1"/>
  <c r="C258" i="2"/>
  <c r="G258" i="2" s="1"/>
  <c r="C259" i="2"/>
  <c r="G259" i="2" s="1"/>
  <c r="C260" i="2"/>
  <c r="G260" i="2" s="1"/>
  <c r="C262" i="2"/>
  <c r="G262" i="2" s="1"/>
  <c r="C263" i="2"/>
  <c r="G263" i="2" s="1"/>
  <c r="C264" i="2"/>
  <c r="G264" i="2" s="1"/>
  <c r="C265" i="2"/>
  <c r="G265" i="2" s="1"/>
  <c r="C266" i="2"/>
  <c r="G266" i="2" s="1"/>
  <c r="C267" i="2"/>
  <c r="G267" i="2" s="1"/>
  <c r="C269" i="2"/>
  <c r="G269" i="2" s="1"/>
  <c r="C270" i="2"/>
  <c r="G270" i="2" s="1"/>
  <c r="C271" i="2"/>
  <c r="G271" i="2" s="1"/>
  <c r="C272" i="2"/>
  <c r="G272" i="2" s="1"/>
  <c r="C273" i="2"/>
  <c r="G273" i="2" s="1"/>
  <c r="C274" i="2"/>
  <c r="G274" i="2" s="1"/>
  <c r="C276" i="2"/>
  <c r="G276" i="2" s="1"/>
  <c r="C277" i="2"/>
  <c r="G277" i="2" s="1"/>
  <c r="C278" i="2"/>
  <c r="G278" i="2" s="1"/>
  <c r="C279" i="2"/>
  <c r="G279" i="2" s="1"/>
  <c r="C280" i="2"/>
  <c r="G280" i="2" s="1"/>
  <c r="C281" i="2"/>
  <c r="G281" i="2" s="1"/>
  <c r="C2" i="2"/>
  <c r="C274" i="1" l="1"/>
  <c r="C267" i="1"/>
  <c r="C260" i="1"/>
  <c r="C253" i="1"/>
  <c r="C243" i="1"/>
  <c r="C236" i="1"/>
  <c r="C229" i="1"/>
  <c r="C222" i="1"/>
  <c r="C212" i="1"/>
  <c r="C205" i="1"/>
  <c r="C198" i="1"/>
  <c r="C191" i="1"/>
  <c r="C181" i="1"/>
  <c r="C174" i="1"/>
  <c r="C167" i="1"/>
  <c r="C160" i="1"/>
  <c r="C150" i="1"/>
  <c r="C143" i="1"/>
  <c r="C136" i="1"/>
  <c r="C129" i="1"/>
  <c r="C119" i="1"/>
  <c r="C112" i="1"/>
  <c r="C105" i="1"/>
  <c r="C98" i="1"/>
  <c r="C88" i="1"/>
  <c r="C81" i="1"/>
  <c r="C74" i="1"/>
  <c r="C67" i="1"/>
  <c r="C57" i="1"/>
  <c r="C50" i="1"/>
  <c r="C43" i="1"/>
  <c r="C36" i="1"/>
  <c r="H33" i="1"/>
  <c r="H34" i="1"/>
  <c r="H35" i="1"/>
  <c r="H37" i="1"/>
  <c r="H38" i="1"/>
  <c r="H39" i="1"/>
  <c r="H40" i="1"/>
  <c r="H41" i="1"/>
  <c r="H44" i="1"/>
  <c r="H45" i="1"/>
  <c r="H47" i="1"/>
  <c r="H48" i="1"/>
  <c r="H49" i="1"/>
  <c r="H51" i="1"/>
  <c r="H52" i="1"/>
  <c r="H53" i="1"/>
  <c r="H54" i="1"/>
  <c r="H55" i="1"/>
  <c r="H58" i="1"/>
  <c r="H59" i="1"/>
  <c r="H60" i="1"/>
  <c r="H61" i="1"/>
  <c r="H62" i="1"/>
  <c r="H63" i="1"/>
  <c r="H64" i="1"/>
  <c r="H65" i="1"/>
  <c r="H66" i="1"/>
  <c r="H68" i="1"/>
  <c r="H69" i="1"/>
  <c r="H70" i="1"/>
  <c r="H71" i="1"/>
  <c r="H72" i="1"/>
  <c r="H73" i="1"/>
  <c r="H75" i="1"/>
  <c r="H76" i="1"/>
  <c r="H78" i="1"/>
  <c r="H79" i="1"/>
  <c r="H80" i="1"/>
  <c r="H82" i="1"/>
  <c r="H83" i="1"/>
  <c r="H84" i="1"/>
  <c r="H85" i="1"/>
  <c r="H86" i="1"/>
  <c r="H87" i="1"/>
  <c r="H89" i="1"/>
  <c r="H90" i="1"/>
  <c r="H91" i="1"/>
  <c r="H92" i="1"/>
  <c r="H93" i="1"/>
  <c r="H94" i="1"/>
  <c r="H99" i="1"/>
  <c r="H100" i="1"/>
  <c r="H101" i="1"/>
  <c r="H102" i="1"/>
  <c r="H103" i="1"/>
  <c r="H104" i="1"/>
  <c r="H107" i="1"/>
  <c r="H126" i="1"/>
  <c r="H127" i="1"/>
  <c r="H128" i="1"/>
  <c r="H130" i="1"/>
  <c r="H131" i="1"/>
  <c r="H132" i="1"/>
  <c r="H133" i="1"/>
  <c r="H134" i="1"/>
  <c r="H135" i="1"/>
  <c r="H137" i="1"/>
  <c r="H138" i="1"/>
  <c r="H140" i="1"/>
  <c r="H141" i="1"/>
  <c r="H142" i="1"/>
  <c r="H144" i="1"/>
  <c r="H145" i="1"/>
  <c r="H146" i="1"/>
  <c r="H147" i="1"/>
  <c r="H148" i="1"/>
  <c r="H149" i="1"/>
  <c r="H152" i="1"/>
  <c r="H153" i="1"/>
  <c r="H154" i="1"/>
  <c r="H155" i="1"/>
  <c r="H156" i="1"/>
  <c r="H157" i="1"/>
  <c r="H158" i="1"/>
  <c r="H159" i="1"/>
  <c r="H161" i="1"/>
  <c r="H162" i="1"/>
  <c r="H163" i="1"/>
  <c r="H164" i="1"/>
  <c r="H165" i="1"/>
  <c r="H166" i="1"/>
  <c r="H168" i="1"/>
  <c r="H169" i="1"/>
  <c r="H171" i="1"/>
  <c r="H172" i="1"/>
  <c r="H173" i="1"/>
  <c r="H175" i="1"/>
  <c r="H176" i="1"/>
  <c r="H177" i="1"/>
  <c r="H178" i="1"/>
  <c r="H179" i="1"/>
  <c r="H180" i="1"/>
  <c r="H182" i="1"/>
  <c r="H183" i="1"/>
  <c r="H184" i="1"/>
  <c r="H185" i="1"/>
  <c r="H186" i="1"/>
  <c r="H187" i="1"/>
  <c r="H188" i="1"/>
  <c r="H189" i="1"/>
  <c r="H190" i="1"/>
  <c r="H193" i="1"/>
  <c r="H194" i="1"/>
  <c r="H195" i="1"/>
  <c r="H196" i="1"/>
  <c r="H197" i="1"/>
  <c r="H199" i="1"/>
  <c r="H200" i="1"/>
  <c r="H202" i="1"/>
  <c r="H203" i="1"/>
  <c r="H204" i="1"/>
  <c r="H206" i="1"/>
  <c r="H208" i="1"/>
  <c r="H209" i="1"/>
  <c r="H210" i="1"/>
  <c r="H213" i="1"/>
  <c r="H214" i="1"/>
  <c r="H215" i="1"/>
  <c r="H216" i="1"/>
  <c r="H224" i="1"/>
  <c r="H225" i="1"/>
  <c r="H226" i="1"/>
  <c r="H227" i="1"/>
  <c r="H228" i="1"/>
  <c r="H230" i="1"/>
  <c r="H231" i="1"/>
  <c r="H233" i="1"/>
  <c r="H234" i="1"/>
  <c r="H235" i="1"/>
  <c r="H237" i="1"/>
  <c r="H238" i="1"/>
  <c r="H240" i="1"/>
  <c r="H241" i="1"/>
  <c r="H242" i="1"/>
  <c r="H244" i="1"/>
  <c r="H245" i="1"/>
  <c r="H247" i="1"/>
  <c r="H248" i="1"/>
  <c r="H249" i="1"/>
  <c r="H250" i="1"/>
  <c r="H251" i="1"/>
  <c r="H252" i="1"/>
  <c r="H254" i="1"/>
  <c r="H255" i="1"/>
  <c r="H256" i="1"/>
  <c r="H257" i="1"/>
  <c r="H258" i="1"/>
  <c r="H259" i="1"/>
  <c r="H261" i="1"/>
  <c r="H262" i="1"/>
  <c r="H264" i="1"/>
  <c r="H265" i="1"/>
  <c r="H266" i="1"/>
  <c r="H268" i="1"/>
  <c r="H269" i="1"/>
  <c r="H270" i="1"/>
  <c r="H271" i="1"/>
  <c r="H272" i="1"/>
  <c r="H273" i="1"/>
  <c r="H275" i="1"/>
  <c r="H276" i="1"/>
  <c r="H277" i="1"/>
  <c r="H278" i="1"/>
  <c r="H279" i="1"/>
  <c r="H280" i="1"/>
  <c r="G33" i="1"/>
  <c r="G34" i="1"/>
  <c r="G35" i="1"/>
  <c r="G37" i="1"/>
  <c r="G38" i="1"/>
  <c r="G39" i="1"/>
  <c r="G40" i="1"/>
  <c r="G41" i="1"/>
  <c r="G44" i="1"/>
  <c r="G45" i="1"/>
  <c r="G47" i="1"/>
  <c r="G48" i="1"/>
  <c r="G49" i="1"/>
  <c r="G51" i="1"/>
  <c r="G52" i="1"/>
  <c r="G53" i="1"/>
  <c r="G54" i="1"/>
  <c r="G55" i="1"/>
  <c r="G58" i="1"/>
  <c r="G59" i="1"/>
  <c r="G60" i="1"/>
  <c r="G61" i="1"/>
  <c r="G62" i="1"/>
  <c r="G63" i="1"/>
  <c r="G64" i="1"/>
  <c r="G65" i="1"/>
  <c r="G66" i="1"/>
  <c r="G68" i="1"/>
  <c r="G69" i="1"/>
  <c r="G70" i="1"/>
  <c r="G71" i="1"/>
  <c r="G72" i="1"/>
  <c r="G73" i="1"/>
  <c r="G75" i="1"/>
  <c r="G76" i="1"/>
  <c r="G78" i="1"/>
  <c r="G79" i="1"/>
  <c r="G80" i="1"/>
  <c r="G82" i="1"/>
  <c r="G83" i="1"/>
  <c r="G84" i="1"/>
  <c r="G85" i="1"/>
  <c r="G86" i="1"/>
  <c r="G87" i="1"/>
  <c r="G89" i="1"/>
  <c r="G90" i="1"/>
  <c r="G91" i="1"/>
  <c r="G92" i="1"/>
  <c r="G93" i="1"/>
  <c r="G94" i="1"/>
  <c r="G99" i="1"/>
  <c r="G100" i="1"/>
  <c r="G101" i="1"/>
  <c r="G102" i="1"/>
  <c r="G103" i="1"/>
  <c r="G104" i="1"/>
  <c r="G107" i="1"/>
  <c r="G126" i="1"/>
  <c r="G127" i="1"/>
  <c r="G128" i="1"/>
  <c r="G130" i="1"/>
  <c r="G131" i="1"/>
  <c r="G132" i="1"/>
  <c r="G133" i="1"/>
  <c r="G134" i="1"/>
  <c r="G135" i="1"/>
  <c r="G137" i="1"/>
  <c r="G138" i="1"/>
  <c r="G140" i="1"/>
  <c r="G141" i="1"/>
  <c r="G142" i="1"/>
  <c r="G144" i="1"/>
  <c r="G145" i="1"/>
  <c r="G146" i="1"/>
  <c r="G147" i="1"/>
  <c r="G148" i="1"/>
  <c r="G149" i="1"/>
  <c r="G152" i="1"/>
  <c r="G153" i="1"/>
  <c r="G154" i="1"/>
  <c r="G155" i="1"/>
  <c r="G156" i="1"/>
  <c r="G157" i="1"/>
  <c r="G158" i="1"/>
  <c r="G159" i="1"/>
  <c r="G161" i="1"/>
  <c r="G162" i="1"/>
  <c r="G163" i="1"/>
  <c r="G164" i="1"/>
  <c r="G165" i="1"/>
  <c r="G166" i="1"/>
  <c r="G168" i="1"/>
  <c r="G169" i="1"/>
  <c r="G171" i="1"/>
  <c r="G172" i="1"/>
  <c r="G173" i="1"/>
  <c r="G175" i="1"/>
  <c r="G176" i="1"/>
  <c r="G177" i="1"/>
  <c r="G178" i="1"/>
  <c r="G179" i="1"/>
  <c r="G180" i="1"/>
  <c r="G182" i="1"/>
  <c r="G183" i="1"/>
  <c r="G184" i="1"/>
  <c r="G185" i="1"/>
  <c r="G186" i="1"/>
  <c r="G187" i="1"/>
  <c r="G188" i="1"/>
  <c r="G189" i="1"/>
  <c r="G190" i="1"/>
  <c r="G193" i="1"/>
  <c r="G194" i="1"/>
  <c r="G195" i="1"/>
  <c r="G196" i="1"/>
  <c r="G197" i="1"/>
  <c r="G199" i="1"/>
  <c r="G200" i="1"/>
  <c r="G202" i="1"/>
  <c r="G203" i="1"/>
  <c r="G204" i="1"/>
  <c r="G206" i="1"/>
  <c r="G208" i="1"/>
  <c r="G209" i="1"/>
  <c r="G210" i="1"/>
  <c r="G213" i="1"/>
  <c r="G214" i="1"/>
  <c r="G215" i="1"/>
  <c r="G216" i="1"/>
  <c r="G224" i="1"/>
  <c r="G225" i="1"/>
  <c r="G226" i="1"/>
  <c r="G227" i="1"/>
  <c r="G228" i="1"/>
  <c r="G230" i="1"/>
  <c r="G231" i="1"/>
  <c r="G233" i="1"/>
  <c r="G234" i="1"/>
  <c r="G235" i="1"/>
  <c r="G237" i="1"/>
  <c r="G238" i="1"/>
  <c r="G240" i="1"/>
  <c r="G241" i="1"/>
  <c r="G242" i="1"/>
  <c r="G244" i="1"/>
  <c r="G245" i="1"/>
  <c r="G247" i="1"/>
  <c r="G248" i="1"/>
  <c r="G249" i="1"/>
  <c r="G250" i="1"/>
  <c r="G251" i="1"/>
  <c r="G252" i="1"/>
  <c r="G254" i="1"/>
  <c r="G255" i="1"/>
  <c r="G256" i="1"/>
  <c r="G257" i="1"/>
  <c r="G258" i="1"/>
  <c r="G259" i="1"/>
  <c r="G261" i="1"/>
  <c r="G262" i="1"/>
  <c r="G264" i="1"/>
  <c r="G265" i="1"/>
  <c r="G266" i="1"/>
  <c r="G268" i="1"/>
  <c r="G269" i="1"/>
  <c r="G270" i="1"/>
  <c r="G271" i="1"/>
  <c r="G272" i="1"/>
  <c r="G273" i="1"/>
  <c r="G275" i="1"/>
  <c r="G276" i="1"/>
  <c r="G277" i="1"/>
  <c r="G278" i="1"/>
  <c r="G279" i="1"/>
  <c r="G280" i="1"/>
  <c r="C33" i="1"/>
  <c r="F33" i="1" s="1"/>
  <c r="C34" i="1"/>
  <c r="F34" i="1" s="1"/>
  <c r="C35" i="1"/>
  <c r="F35" i="1" s="1"/>
  <c r="C37" i="1"/>
  <c r="F37" i="1" s="1"/>
  <c r="C38" i="1"/>
  <c r="F38" i="1" s="1"/>
  <c r="C39" i="1"/>
  <c r="F39" i="1" s="1"/>
  <c r="C40" i="1"/>
  <c r="F40" i="1" s="1"/>
  <c r="C41" i="1"/>
  <c r="F41" i="1" s="1"/>
  <c r="C42" i="1"/>
  <c r="F42" i="1" s="1"/>
  <c r="C44" i="1"/>
  <c r="F44" i="1" s="1"/>
  <c r="C45" i="1"/>
  <c r="F45" i="1" s="1"/>
  <c r="C46" i="1"/>
  <c r="C47" i="1"/>
  <c r="F47" i="1" s="1"/>
  <c r="C48" i="1"/>
  <c r="F48" i="1" s="1"/>
  <c r="C49" i="1"/>
  <c r="F49" i="1" s="1"/>
  <c r="C51" i="1"/>
  <c r="F51" i="1" s="1"/>
  <c r="C52" i="1"/>
  <c r="F52" i="1" s="1"/>
  <c r="C53" i="1"/>
  <c r="F53" i="1" s="1"/>
  <c r="C54" i="1"/>
  <c r="F54" i="1" s="1"/>
  <c r="C55" i="1"/>
  <c r="F55" i="1" s="1"/>
  <c r="C56" i="1"/>
  <c r="F56" i="1" s="1"/>
  <c r="C58" i="1"/>
  <c r="F58" i="1" s="1"/>
  <c r="C59" i="1"/>
  <c r="F59" i="1" s="1"/>
  <c r="C60" i="1"/>
  <c r="F60" i="1" s="1"/>
  <c r="C61" i="1"/>
  <c r="F61" i="1" s="1"/>
  <c r="C62" i="1"/>
  <c r="F62" i="1" s="1"/>
  <c r="C63" i="1"/>
  <c r="F63" i="1" s="1"/>
  <c r="C64" i="1"/>
  <c r="F64" i="1" s="1"/>
  <c r="C65" i="1"/>
  <c r="F65" i="1" s="1"/>
  <c r="C66" i="1"/>
  <c r="F66" i="1" s="1"/>
  <c r="C68" i="1"/>
  <c r="F68" i="1" s="1"/>
  <c r="C69" i="1"/>
  <c r="F69" i="1" s="1"/>
  <c r="C70" i="1"/>
  <c r="F70" i="1" s="1"/>
  <c r="C71" i="1"/>
  <c r="F71" i="1" s="1"/>
  <c r="C72" i="1"/>
  <c r="F72" i="1" s="1"/>
  <c r="C73" i="1"/>
  <c r="F73" i="1" s="1"/>
  <c r="C75" i="1"/>
  <c r="F75" i="1" s="1"/>
  <c r="C76" i="1"/>
  <c r="F76" i="1" s="1"/>
  <c r="C77" i="1"/>
  <c r="C78" i="1"/>
  <c r="F78" i="1" s="1"/>
  <c r="C79" i="1"/>
  <c r="F79" i="1" s="1"/>
  <c r="C80" i="1"/>
  <c r="F80" i="1" s="1"/>
  <c r="C82" i="1"/>
  <c r="F82" i="1" s="1"/>
  <c r="C83" i="1"/>
  <c r="F83" i="1" s="1"/>
  <c r="C84" i="1"/>
  <c r="F84" i="1" s="1"/>
  <c r="C85" i="1"/>
  <c r="F85" i="1" s="1"/>
  <c r="C86" i="1"/>
  <c r="F86" i="1" s="1"/>
  <c r="C87" i="1"/>
  <c r="F87" i="1" s="1"/>
  <c r="C89" i="1"/>
  <c r="F89" i="1" s="1"/>
  <c r="C90" i="1"/>
  <c r="F90" i="1" s="1"/>
  <c r="C91" i="1"/>
  <c r="F91" i="1" s="1"/>
  <c r="C92" i="1"/>
  <c r="F92" i="1" s="1"/>
  <c r="C93" i="1"/>
  <c r="F93" i="1" s="1"/>
  <c r="C94" i="1"/>
  <c r="F94" i="1" s="1"/>
  <c r="C95" i="1"/>
  <c r="F95" i="1" s="1"/>
  <c r="C96" i="1"/>
  <c r="F96" i="1" s="1"/>
  <c r="C97" i="1"/>
  <c r="F97" i="1" s="1"/>
  <c r="C99" i="1"/>
  <c r="F99" i="1" s="1"/>
  <c r="C100" i="1"/>
  <c r="F100" i="1" s="1"/>
  <c r="C101" i="1"/>
  <c r="F101" i="1" s="1"/>
  <c r="C102" i="1"/>
  <c r="F102" i="1" s="1"/>
  <c r="C103" i="1"/>
  <c r="F103" i="1" s="1"/>
  <c r="C104" i="1"/>
  <c r="F104" i="1" s="1"/>
  <c r="C106" i="1"/>
  <c r="F106" i="1" s="1"/>
  <c r="C107" i="1"/>
  <c r="F107" i="1" s="1"/>
  <c r="C108" i="1"/>
  <c r="C109" i="1"/>
  <c r="F109" i="1" s="1"/>
  <c r="C110" i="1"/>
  <c r="F110" i="1" s="1"/>
  <c r="C111" i="1"/>
  <c r="F111" i="1" s="1"/>
  <c r="C113" i="1"/>
  <c r="F113" i="1" s="1"/>
  <c r="C114" i="1"/>
  <c r="F114" i="1" s="1"/>
  <c r="C115" i="1"/>
  <c r="F115" i="1" s="1"/>
  <c r="C116" i="1"/>
  <c r="F116" i="1" s="1"/>
  <c r="C117" i="1"/>
  <c r="F117" i="1" s="1"/>
  <c r="C118" i="1"/>
  <c r="F118" i="1" s="1"/>
  <c r="C120" i="1"/>
  <c r="F120" i="1" s="1"/>
  <c r="C121" i="1"/>
  <c r="F121" i="1" s="1"/>
  <c r="C122" i="1"/>
  <c r="F122" i="1" s="1"/>
  <c r="C123" i="1"/>
  <c r="F123" i="1" s="1"/>
  <c r="C124" i="1"/>
  <c r="F124" i="1" s="1"/>
  <c r="C125" i="1"/>
  <c r="F125" i="1" s="1"/>
  <c r="C126" i="1"/>
  <c r="F126" i="1" s="1"/>
  <c r="C127" i="1"/>
  <c r="F127" i="1" s="1"/>
  <c r="C128" i="1"/>
  <c r="F128" i="1" s="1"/>
  <c r="C130" i="1"/>
  <c r="F130" i="1" s="1"/>
  <c r="C131" i="1"/>
  <c r="F131" i="1" s="1"/>
  <c r="C132" i="1"/>
  <c r="F132" i="1" s="1"/>
  <c r="C133" i="1"/>
  <c r="F133" i="1" s="1"/>
  <c r="C134" i="1"/>
  <c r="F134" i="1" s="1"/>
  <c r="C135" i="1"/>
  <c r="F135" i="1" s="1"/>
  <c r="C137" i="1"/>
  <c r="F137" i="1" s="1"/>
  <c r="C138" i="1"/>
  <c r="F138" i="1" s="1"/>
  <c r="C139" i="1"/>
  <c r="C140" i="1"/>
  <c r="F140" i="1" s="1"/>
  <c r="C141" i="1"/>
  <c r="F141" i="1" s="1"/>
  <c r="C142" i="1"/>
  <c r="F142" i="1" s="1"/>
  <c r="C144" i="1"/>
  <c r="F144" i="1" s="1"/>
  <c r="C145" i="1"/>
  <c r="F145" i="1" s="1"/>
  <c r="C146" i="1"/>
  <c r="F146" i="1" s="1"/>
  <c r="C147" i="1"/>
  <c r="F147" i="1" s="1"/>
  <c r="C148" i="1"/>
  <c r="F148" i="1" s="1"/>
  <c r="C149" i="1"/>
  <c r="F149" i="1" s="1"/>
  <c r="C151" i="1"/>
  <c r="F151" i="1" s="1"/>
  <c r="C152" i="1"/>
  <c r="F152" i="1" s="1"/>
  <c r="C153" i="1"/>
  <c r="F153" i="1" s="1"/>
  <c r="C154" i="1"/>
  <c r="F154" i="1" s="1"/>
  <c r="C155" i="1"/>
  <c r="F155" i="1" s="1"/>
  <c r="C156" i="1"/>
  <c r="F156" i="1" s="1"/>
  <c r="C157" i="1"/>
  <c r="F157" i="1" s="1"/>
  <c r="C158" i="1"/>
  <c r="F158" i="1" s="1"/>
  <c r="C159" i="1"/>
  <c r="F159" i="1" s="1"/>
  <c r="C161" i="1"/>
  <c r="F161" i="1" s="1"/>
  <c r="C162" i="1"/>
  <c r="F162" i="1" s="1"/>
  <c r="C163" i="1"/>
  <c r="F163" i="1" s="1"/>
  <c r="C164" i="1"/>
  <c r="F164" i="1" s="1"/>
  <c r="C165" i="1"/>
  <c r="F165" i="1" s="1"/>
  <c r="C166" i="1"/>
  <c r="F166" i="1" s="1"/>
  <c r="C168" i="1"/>
  <c r="F168" i="1" s="1"/>
  <c r="C169" i="1"/>
  <c r="F169" i="1" s="1"/>
  <c r="C170" i="1"/>
  <c r="C171" i="1"/>
  <c r="F171" i="1" s="1"/>
  <c r="C172" i="1"/>
  <c r="F172" i="1" s="1"/>
  <c r="C173" i="1"/>
  <c r="F173" i="1" s="1"/>
  <c r="C175" i="1"/>
  <c r="F175" i="1" s="1"/>
  <c r="C176" i="1"/>
  <c r="F176" i="1" s="1"/>
  <c r="C177" i="1"/>
  <c r="F177" i="1" s="1"/>
  <c r="C178" i="1"/>
  <c r="F178" i="1" s="1"/>
  <c r="C179" i="1"/>
  <c r="F179" i="1" s="1"/>
  <c r="C180" i="1"/>
  <c r="F180" i="1" s="1"/>
  <c r="C182" i="1"/>
  <c r="F182" i="1" s="1"/>
  <c r="C183" i="1"/>
  <c r="F183" i="1" s="1"/>
  <c r="C184" i="1"/>
  <c r="F184" i="1" s="1"/>
  <c r="C185" i="1"/>
  <c r="F185" i="1" s="1"/>
  <c r="C186" i="1"/>
  <c r="F186" i="1" s="1"/>
  <c r="C187" i="1"/>
  <c r="F187" i="1" s="1"/>
  <c r="C188" i="1"/>
  <c r="F188" i="1" s="1"/>
  <c r="C189" i="1"/>
  <c r="F189" i="1" s="1"/>
  <c r="C190" i="1"/>
  <c r="F190" i="1" s="1"/>
  <c r="C192" i="1"/>
  <c r="F192" i="1" s="1"/>
  <c r="C193" i="1"/>
  <c r="F193" i="1" s="1"/>
  <c r="C194" i="1"/>
  <c r="F194" i="1" s="1"/>
  <c r="C195" i="1"/>
  <c r="F195" i="1" s="1"/>
  <c r="C196" i="1"/>
  <c r="F196" i="1" s="1"/>
  <c r="C197" i="1"/>
  <c r="F197" i="1" s="1"/>
  <c r="C199" i="1"/>
  <c r="F199" i="1" s="1"/>
  <c r="C200" i="1"/>
  <c r="F200" i="1" s="1"/>
  <c r="C201" i="1"/>
  <c r="C202" i="1"/>
  <c r="F202" i="1" s="1"/>
  <c r="C203" i="1"/>
  <c r="F203" i="1" s="1"/>
  <c r="C204" i="1"/>
  <c r="F204" i="1" s="1"/>
  <c r="C206" i="1"/>
  <c r="F206" i="1" s="1"/>
  <c r="C207" i="1"/>
  <c r="F207" i="1" s="1"/>
  <c r="C208" i="1"/>
  <c r="F208" i="1" s="1"/>
  <c r="C209" i="1"/>
  <c r="F209" i="1" s="1"/>
  <c r="C210" i="1"/>
  <c r="F210" i="1" s="1"/>
  <c r="C211" i="1"/>
  <c r="F211" i="1" s="1"/>
  <c r="C213" i="1"/>
  <c r="F213" i="1" s="1"/>
  <c r="C214" i="1"/>
  <c r="F214" i="1" s="1"/>
  <c r="C215" i="1"/>
  <c r="F215" i="1" s="1"/>
  <c r="C216" i="1"/>
  <c r="F216" i="1" s="1"/>
  <c r="C217" i="1"/>
  <c r="F217" i="1" s="1"/>
  <c r="C218" i="1"/>
  <c r="F218" i="1" s="1"/>
  <c r="C219" i="1"/>
  <c r="F219" i="1" s="1"/>
  <c r="C220" i="1"/>
  <c r="F220" i="1" s="1"/>
  <c r="C221" i="1"/>
  <c r="F221" i="1" s="1"/>
  <c r="C223" i="1"/>
  <c r="F223" i="1" s="1"/>
  <c r="C224" i="1"/>
  <c r="F224" i="1" s="1"/>
  <c r="C225" i="1"/>
  <c r="F225" i="1" s="1"/>
  <c r="C226" i="1"/>
  <c r="F226" i="1" s="1"/>
  <c r="C227" i="1"/>
  <c r="F227" i="1" s="1"/>
  <c r="C228" i="1"/>
  <c r="F228" i="1" s="1"/>
  <c r="C230" i="1"/>
  <c r="F230" i="1" s="1"/>
  <c r="C231" i="1"/>
  <c r="F231" i="1" s="1"/>
  <c r="C232" i="1"/>
  <c r="C233" i="1"/>
  <c r="F233" i="1" s="1"/>
  <c r="C234" i="1"/>
  <c r="F234" i="1" s="1"/>
  <c r="C235" i="1"/>
  <c r="F235" i="1" s="1"/>
  <c r="C237" i="1"/>
  <c r="F237" i="1" s="1"/>
  <c r="C238" i="1"/>
  <c r="F238" i="1" s="1"/>
  <c r="C239" i="1"/>
  <c r="F239" i="1" s="1"/>
  <c r="C240" i="1"/>
  <c r="F240" i="1" s="1"/>
  <c r="C241" i="1"/>
  <c r="F241" i="1" s="1"/>
  <c r="C242" i="1"/>
  <c r="F242" i="1" s="1"/>
  <c r="C244" i="1"/>
  <c r="F244" i="1" s="1"/>
  <c r="C245" i="1"/>
  <c r="F245" i="1" s="1"/>
  <c r="C246" i="1"/>
  <c r="F246" i="1" s="1"/>
  <c r="C247" i="1"/>
  <c r="F247" i="1" s="1"/>
  <c r="C248" i="1"/>
  <c r="F248" i="1" s="1"/>
  <c r="C249" i="1"/>
  <c r="F249" i="1" s="1"/>
  <c r="C250" i="1"/>
  <c r="F250" i="1" s="1"/>
  <c r="C251" i="1"/>
  <c r="F251" i="1" s="1"/>
  <c r="C252" i="1"/>
  <c r="F252" i="1" s="1"/>
  <c r="C254" i="1"/>
  <c r="F254" i="1" s="1"/>
  <c r="C255" i="1"/>
  <c r="F255" i="1" s="1"/>
  <c r="C256" i="1"/>
  <c r="F256" i="1" s="1"/>
  <c r="C257" i="1"/>
  <c r="F257" i="1" s="1"/>
  <c r="C258" i="1"/>
  <c r="F258" i="1" s="1"/>
  <c r="C259" i="1"/>
  <c r="F259" i="1" s="1"/>
  <c r="C261" i="1"/>
  <c r="F261" i="1" s="1"/>
  <c r="C262" i="1"/>
  <c r="F262" i="1" s="1"/>
  <c r="C263" i="1"/>
  <c r="C264" i="1"/>
  <c r="F264" i="1" s="1"/>
  <c r="C265" i="1"/>
  <c r="F265" i="1" s="1"/>
  <c r="C266" i="1"/>
  <c r="F266" i="1" s="1"/>
  <c r="C268" i="1"/>
  <c r="F268" i="1" s="1"/>
  <c r="C269" i="1"/>
  <c r="F269" i="1" s="1"/>
  <c r="C270" i="1"/>
  <c r="F270" i="1" s="1"/>
  <c r="C271" i="1"/>
  <c r="F271" i="1" s="1"/>
  <c r="C272" i="1"/>
  <c r="F272" i="1" s="1"/>
  <c r="C273" i="1"/>
  <c r="F273" i="1" s="1"/>
  <c r="C275" i="1"/>
  <c r="F275" i="1" s="1"/>
  <c r="C276" i="1"/>
  <c r="F276" i="1" s="1"/>
  <c r="C277" i="1"/>
  <c r="F277" i="1" s="1"/>
  <c r="C278" i="1"/>
  <c r="F278" i="1" s="1"/>
  <c r="C279" i="1"/>
  <c r="F279" i="1" s="1"/>
  <c r="C280" i="1"/>
  <c r="F280" i="1" s="1"/>
  <c r="C26" i="1"/>
  <c r="C19" i="1"/>
  <c r="C12" i="1"/>
  <c r="H3" i="1"/>
  <c r="H4" i="1"/>
  <c r="H6" i="1"/>
  <c r="H7" i="1"/>
  <c r="H8" i="1"/>
  <c r="H9" i="1"/>
  <c r="H10" i="1"/>
  <c r="H11" i="1"/>
  <c r="H13" i="1"/>
  <c r="H14" i="1"/>
  <c r="H16" i="1"/>
  <c r="H17" i="1"/>
  <c r="H18" i="1"/>
  <c r="H20" i="1"/>
  <c r="H21" i="1"/>
  <c r="H22" i="1"/>
  <c r="H23" i="1"/>
  <c r="H24" i="1"/>
  <c r="H25" i="1"/>
  <c r="H27" i="1"/>
  <c r="H28" i="1"/>
  <c r="H29" i="1"/>
  <c r="H30" i="1"/>
  <c r="H31" i="1"/>
  <c r="H32" i="1"/>
  <c r="H2" i="1"/>
  <c r="G3" i="1" l="1"/>
  <c r="G4" i="1"/>
  <c r="G6" i="1"/>
  <c r="G7" i="1"/>
  <c r="G8" i="1"/>
  <c r="G9" i="1"/>
  <c r="G10" i="1"/>
  <c r="G11" i="1"/>
  <c r="G13" i="1"/>
  <c r="G14" i="1"/>
  <c r="G16" i="1"/>
  <c r="G17" i="1"/>
  <c r="G18" i="1"/>
  <c r="G20" i="1"/>
  <c r="G21" i="1"/>
  <c r="G22" i="1"/>
  <c r="G23" i="1"/>
  <c r="G24" i="1"/>
  <c r="G25" i="1"/>
  <c r="G27" i="1"/>
  <c r="G28" i="1"/>
  <c r="G29" i="1"/>
  <c r="G30" i="1"/>
  <c r="G31" i="1"/>
  <c r="G32" i="1"/>
  <c r="C6" i="1"/>
  <c r="F6" i="1" s="1"/>
  <c r="C7" i="1"/>
  <c r="F7" i="1" s="1"/>
  <c r="C8" i="1"/>
  <c r="F8" i="1" s="1"/>
  <c r="C9" i="1"/>
  <c r="F9" i="1" s="1"/>
  <c r="C10" i="1"/>
  <c r="F10" i="1" s="1"/>
  <c r="C11" i="1"/>
  <c r="F11" i="1" s="1"/>
  <c r="C13" i="1"/>
  <c r="F13" i="1" s="1"/>
  <c r="C14" i="1"/>
  <c r="F14" i="1" s="1"/>
  <c r="C15" i="1"/>
  <c r="C16" i="1"/>
  <c r="F16" i="1" s="1"/>
  <c r="C17" i="1"/>
  <c r="F17" i="1" s="1"/>
  <c r="C18" i="1"/>
  <c r="F18" i="1" s="1"/>
  <c r="C20" i="1"/>
  <c r="F20" i="1" s="1"/>
  <c r="C21" i="1"/>
  <c r="F21" i="1" s="1"/>
  <c r="C22" i="1"/>
  <c r="F22" i="1" s="1"/>
  <c r="C23" i="1"/>
  <c r="F23" i="1" s="1"/>
  <c r="C24" i="1"/>
  <c r="F24" i="1" s="1"/>
  <c r="C25" i="1"/>
  <c r="F25" i="1" s="1"/>
  <c r="C27" i="1"/>
  <c r="F27" i="1" s="1"/>
  <c r="C28" i="1"/>
  <c r="F28" i="1" s="1"/>
  <c r="C29" i="1"/>
  <c r="F29" i="1" s="1"/>
  <c r="C30" i="1"/>
  <c r="F30" i="1" s="1"/>
  <c r="C31" i="1"/>
  <c r="F31" i="1" s="1"/>
  <c r="C32" i="1"/>
  <c r="F32" i="1" s="1"/>
  <c r="C3" i="1"/>
  <c r="F3" i="1" s="1"/>
  <c r="C4" i="1"/>
  <c r="F4" i="1" s="1"/>
  <c r="C5" i="1"/>
  <c r="C2" i="1"/>
  <c r="F2" i="1" s="1"/>
</calcChain>
</file>

<file path=xl/sharedStrings.xml><?xml version="1.0" encoding="utf-8"?>
<sst xmlns="http://schemas.openxmlformats.org/spreadsheetml/2006/main" count="6125" uniqueCount="722">
  <si>
    <t>NAME</t>
  </si>
  <si>
    <t>DATE</t>
  </si>
  <si>
    <t>IN TIME</t>
  </si>
  <si>
    <t>OUT TIME</t>
  </si>
  <si>
    <t>STATUS</t>
  </si>
  <si>
    <t>NET WORKING HOURS</t>
  </si>
  <si>
    <t>OVERTIME</t>
  </si>
  <si>
    <t>09:29 AM</t>
  </si>
  <si>
    <t>06:47 PM</t>
  </si>
  <si>
    <t>09:35 AM</t>
  </si>
  <si>
    <t>06:25 PM</t>
  </si>
  <si>
    <t>09:32 AM</t>
  </si>
  <si>
    <t>0:0</t>
  </si>
  <si>
    <t>09:59 AM</t>
  </si>
  <si>
    <t>09:18 AM</t>
  </si>
  <si>
    <t>09:34 AM</t>
  </si>
  <si>
    <t>09:19 AM</t>
  </si>
  <si>
    <t>09:41 AM</t>
  </si>
  <si>
    <t>09:21 AM</t>
  </si>
  <si>
    <t>09:30 AM</t>
  </si>
  <si>
    <t>09:12 AM</t>
  </si>
  <si>
    <t>09:39 AM</t>
  </si>
  <si>
    <t>10:27 AM</t>
  </si>
  <si>
    <t>09:28 AM</t>
  </si>
  <si>
    <t>09:38 AM</t>
  </si>
  <si>
    <t>09:42 AM</t>
  </si>
  <si>
    <t>09:51 AM</t>
  </si>
  <si>
    <t>10:10 AM</t>
  </si>
  <si>
    <t>09:48 AM</t>
  </si>
  <si>
    <t>09:33 AM</t>
  </si>
  <si>
    <t>09:45 AM</t>
  </si>
  <si>
    <t>DAY</t>
  </si>
  <si>
    <t>06:29 PM</t>
  </si>
  <si>
    <t>06:22 PM</t>
  </si>
  <si>
    <t>06:23 PM</t>
  </si>
  <si>
    <t>06:42 PM</t>
  </si>
  <si>
    <t>06:28 PM</t>
  </si>
  <si>
    <t>09:00 PM</t>
  </si>
  <si>
    <t>06:40 PM</t>
  </si>
  <si>
    <t>06:24 PM</t>
  </si>
  <si>
    <t>06:32 PM</t>
  </si>
  <si>
    <t>05:11 PM</t>
  </si>
  <si>
    <t>06:39 PM</t>
  </si>
  <si>
    <t>06:30 PM</t>
  </si>
  <si>
    <t>07:20 PM</t>
  </si>
  <si>
    <t>06:45 PM</t>
  </si>
  <si>
    <t>06:31 PM</t>
  </si>
  <si>
    <t>06:35 PM</t>
  </si>
  <si>
    <t>SUFIYAN DATA</t>
  </si>
  <si>
    <t>AAKIB PATHAN</t>
  </si>
  <si>
    <t>09:27 AM</t>
  </si>
  <si>
    <t>09:20 AM</t>
  </si>
  <si>
    <t>09:24 AM</t>
  </si>
  <si>
    <t>06:43 PM</t>
  </si>
  <si>
    <t>10:00 AM</t>
  </si>
  <si>
    <t>06:20 PM</t>
  </si>
  <si>
    <t>09:23 AM</t>
  </si>
  <si>
    <t>06:26 PM</t>
  </si>
  <si>
    <t>06:50 PM</t>
  </si>
  <si>
    <t>06:12 PM</t>
  </si>
  <si>
    <t>06:34 PM</t>
  </si>
  <si>
    <t>09:37 AM</t>
  </si>
  <si>
    <t>06:36 PM</t>
  </si>
  <si>
    <t>09:31 AM</t>
  </si>
  <si>
    <t>11:13 AM</t>
  </si>
  <si>
    <t>06:41 PM</t>
  </si>
  <si>
    <t>06:21 PM</t>
  </si>
  <si>
    <t>09:25 AM</t>
  </si>
  <si>
    <t>05:54 PM</t>
  </si>
  <si>
    <t>KEVIN S PATEL</t>
  </si>
  <si>
    <t>SALEH TARAJIYA</t>
  </si>
  <si>
    <t>VIRAL CHAUDHRY</t>
  </si>
  <si>
    <t>12:06 PM</t>
  </si>
  <si>
    <t>07:27 PM</t>
  </si>
  <si>
    <t>09:44 AM</t>
  </si>
  <si>
    <t>06:27 PM</t>
  </si>
  <si>
    <t>09:22 AM</t>
  </si>
  <si>
    <t>06:19 PM</t>
  </si>
  <si>
    <t>06:56 PM</t>
  </si>
  <si>
    <t>09:26 AM</t>
  </si>
  <si>
    <t>04:50 PM</t>
  </si>
  <si>
    <t>09:36 AM</t>
  </si>
  <si>
    <t>07:07 PM</t>
  </si>
  <si>
    <t>10:20 AM</t>
  </si>
  <si>
    <t>09:14 AM</t>
  </si>
  <si>
    <t>09:07 AM</t>
  </si>
  <si>
    <t>06:14 PM</t>
  </si>
  <si>
    <t>09:46 AM</t>
  </si>
  <si>
    <t>09:57 AM</t>
  </si>
  <si>
    <t>06:38 PM</t>
  </si>
  <si>
    <t>06:33 PM</t>
  </si>
  <si>
    <t>09:58 AM</t>
  </si>
  <si>
    <t>09:40 AM</t>
  </si>
  <si>
    <t>01:54 PM</t>
  </si>
  <si>
    <t>07:47 PM</t>
  </si>
  <si>
    <t/>
  </si>
  <si>
    <t>06:55 PM</t>
  </si>
  <si>
    <t>09:47 AM</t>
  </si>
  <si>
    <t>04:58 PM</t>
  </si>
  <si>
    <t>09:49 AM</t>
  </si>
  <si>
    <t>10:01 AM</t>
  </si>
  <si>
    <t>10:08 AM</t>
  </si>
  <si>
    <t>09:43 AM</t>
  </si>
  <si>
    <t>09:52 AM</t>
  </si>
  <si>
    <t>12:51 PM</t>
  </si>
  <si>
    <t>04:57 PM</t>
  </si>
  <si>
    <t>06:18 PM</t>
  </si>
  <si>
    <t>09:53 AM</t>
  </si>
  <si>
    <t>06:48 PM</t>
  </si>
  <si>
    <t>RAMESH RATHOD</t>
  </si>
  <si>
    <t>SALMAN MIRZA</t>
  </si>
  <si>
    <t>RINKESH MEHTA</t>
  </si>
  <si>
    <t>AKBAR ANSARI</t>
  </si>
  <si>
    <t>07:26 PM</t>
  </si>
  <si>
    <t>07:00 PM</t>
  </si>
  <si>
    <t>09:15 AM</t>
  </si>
  <si>
    <t>09:08 AM</t>
  </si>
  <si>
    <t>07:11 PM</t>
  </si>
  <si>
    <t>09:17 AM</t>
  </si>
  <si>
    <t>06:57 PM</t>
  </si>
  <si>
    <t>09:11 AM</t>
  </si>
  <si>
    <t>10:50 AM</t>
  </si>
  <si>
    <t>10:42 AM</t>
  </si>
  <si>
    <t>10:40 AM</t>
  </si>
  <si>
    <t>10:49 AM</t>
  </si>
  <si>
    <t>06:37 PM</t>
  </si>
  <si>
    <t>10:37 AM</t>
  </si>
  <si>
    <t>10:38 AM</t>
  </si>
  <si>
    <t>10:52 AM</t>
  </si>
  <si>
    <t>10:39 AM</t>
  </si>
  <si>
    <t>10:47 AM</t>
  </si>
  <si>
    <t>10:55 AM</t>
  </si>
  <si>
    <t>10:36 AM</t>
  </si>
  <si>
    <t>06:46 PM</t>
  </si>
  <si>
    <t>10:35 AM</t>
  </si>
  <si>
    <t>10:29 AM</t>
  </si>
  <si>
    <t>10:33 AM</t>
  </si>
  <si>
    <t>10:26 AM</t>
  </si>
  <si>
    <t>09:54 AM</t>
  </si>
  <si>
    <t>04:53 PM</t>
  </si>
  <si>
    <t>10:07 AM</t>
  </si>
  <si>
    <t>11:14 AM</t>
  </si>
  <si>
    <t>10:03 AM</t>
  </si>
  <si>
    <t>07:05 PM</t>
  </si>
  <si>
    <t>10:13 AM</t>
  </si>
  <si>
    <t>10:14 AM</t>
  </si>
  <si>
    <t>08:22 PM</t>
  </si>
  <si>
    <t>06:06 PM</t>
  </si>
  <si>
    <t>07:21 PM</t>
  </si>
  <si>
    <t>12:33 PM</t>
  </si>
  <si>
    <t>06:07 PM</t>
  </si>
  <si>
    <t>06:13 PM</t>
  </si>
  <si>
    <t>09:50 AM</t>
  </si>
  <si>
    <t>06:53 PM</t>
  </si>
  <si>
    <t>06:05 PM</t>
  </si>
  <si>
    <t>07:02 PM</t>
  </si>
  <si>
    <t>01:53 PM</t>
  </si>
  <si>
    <t>05:44 PM</t>
  </si>
  <si>
    <t>10:59 AM</t>
  </si>
  <si>
    <t>HD</t>
  </si>
  <si>
    <t>UTRAYAN</t>
  </si>
  <si>
    <t>10:02 AM</t>
  </si>
  <si>
    <t>11:19 AM</t>
  </si>
  <si>
    <t>10:19 AM</t>
  </si>
  <si>
    <t>11:05 AM</t>
  </si>
  <si>
    <t>10:09 AM</t>
  </si>
  <si>
    <t>12:02 PM</t>
  </si>
  <si>
    <t>11:25 AM</t>
  </si>
  <si>
    <t>10:05 AM</t>
  </si>
  <si>
    <t>10:04 AM</t>
  </si>
  <si>
    <t>10:48 AM</t>
  </si>
  <si>
    <t>10:43 AM</t>
  </si>
  <si>
    <t>12:08 PM</t>
  </si>
  <si>
    <t>11:01 AM</t>
  </si>
  <si>
    <t>10:57 AM</t>
  </si>
  <si>
    <t>11:09 AM</t>
  </si>
  <si>
    <t>11:07 AM</t>
  </si>
  <si>
    <t>10:45 AM</t>
  </si>
  <si>
    <t>11:00 AM</t>
  </si>
  <si>
    <t>10:30 AM</t>
  </si>
  <si>
    <t>10:34 AM</t>
  </si>
  <si>
    <t>10:44 AM</t>
  </si>
  <si>
    <t>10:12 AM</t>
  </si>
  <si>
    <t>10:18 AM</t>
  </si>
  <si>
    <t>10:21 AM</t>
  </si>
  <si>
    <t>10:17 AM</t>
  </si>
  <si>
    <t>10:15 AM</t>
  </si>
  <si>
    <t>10:11 AM</t>
  </si>
  <si>
    <t>00:00</t>
  </si>
  <si>
    <t>9:38 AM</t>
  </si>
  <si>
    <t>6:32 PM</t>
  </si>
  <si>
    <t>08:54</t>
  </si>
  <si>
    <t>9:47 AM</t>
  </si>
  <si>
    <t>6:40 PM</t>
  </si>
  <si>
    <t>08:53</t>
  </si>
  <si>
    <t>5:17 PM</t>
  </si>
  <si>
    <t>07:15</t>
  </si>
  <si>
    <t>6:28 PM</t>
  </si>
  <si>
    <t>08:25</t>
  </si>
  <si>
    <t>9:49 AM</t>
  </si>
  <si>
    <t>7:51 PM</t>
  </si>
  <si>
    <t>10:02</t>
  </si>
  <si>
    <t>9:30 AM</t>
  </si>
  <si>
    <t>6:41 PM</t>
  </si>
  <si>
    <t>09:11</t>
  </si>
  <si>
    <t>9:16 AM</t>
  </si>
  <si>
    <t>9:42 AM</t>
  </si>
  <si>
    <t>6:25 PM</t>
  </si>
  <si>
    <t>08:43</t>
  </si>
  <si>
    <t>6:29 PM</t>
  </si>
  <si>
    <t>08:59</t>
  </si>
  <si>
    <t>9:34 AM</t>
  </si>
  <si>
    <t>6:31 PM</t>
  </si>
  <si>
    <t>08:57</t>
  </si>
  <si>
    <t>6:27 PM</t>
  </si>
  <si>
    <t>08:38</t>
  </si>
  <si>
    <t>9:51 AM</t>
  </si>
  <si>
    <t>6:38 PM</t>
  </si>
  <si>
    <t>08:47</t>
  </si>
  <si>
    <t>9:37 AM</t>
  </si>
  <si>
    <t>6:37 PM</t>
  </si>
  <si>
    <t>09:00</t>
  </si>
  <si>
    <t>9:36 AM</t>
  </si>
  <si>
    <t>6:35 PM</t>
  </si>
  <si>
    <t>9:48 AM</t>
  </si>
  <si>
    <t>6:22 PM</t>
  </si>
  <si>
    <t>08:34</t>
  </si>
  <si>
    <t>5:36 PM</t>
  </si>
  <si>
    <t>07:49</t>
  </si>
  <si>
    <t>9:50 AM</t>
  </si>
  <si>
    <t>5:33 PM</t>
  </si>
  <si>
    <t>07:43</t>
  </si>
  <si>
    <t>5:42 PM</t>
  </si>
  <si>
    <t>07:54</t>
  </si>
  <si>
    <t>5:23 PM</t>
  </si>
  <si>
    <t>07:32</t>
  </si>
  <si>
    <t>5:49 PM</t>
  </si>
  <si>
    <t>08:00</t>
  </si>
  <si>
    <t>5:46 PM</t>
  </si>
  <si>
    <t>08:10</t>
  </si>
  <si>
    <t>9:40 AM</t>
  </si>
  <si>
    <t>5:39 PM</t>
  </si>
  <si>
    <t>07:59</t>
  </si>
  <si>
    <t>5:27 PM</t>
  </si>
  <si>
    <t>07:19</t>
  </si>
  <si>
    <t>5:16 PM</t>
  </si>
  <si>
    <t>07:34</t>
  </si>
  <si>
    <t>SUFIYAN</t>
  </si>
  <si>
    <t>09:06</t>
  </si>
  <si>
    <t>6:46 PM</t>
  </si>
  <si>
    <t>07:27</t>
  </si>
  <si>
    <t>6:47 PM</t>
  </si>
  <si>
    <t>09:05</t>
  </si>
  <si>
    <t>9:53 AM</t>
  </si>
  <si>
    <t>6:36 PM</t>
  </si>
  <si>
    <t>9:43 AM</t>
  </si>
  <si>
    <t>9:33 AM</t>
  </si>
  <si>
    <t>08:55</t>
  </si>
  <si>
    <t>9:27 AM</t>
  </si>
  <si>
    <t>6:33 PM</t>
  </si>
  <si>
    <t>9:28 AM</t>
  </si>
  <si>
    <t>6:20 PM</t>
  </si>
  <si>
    <t>08:46</t>
  </si>
  <si>
    <t>09:19</t>
  </si>
  <si>
    <t>9:55 AM</t>
  </si>
  <si>
    <t>5:00 PM</t>
  </si>
  <si>
    <t>07:05</t>
  </si>
  <si>
    <t>6:23 PM</t>
  </si>
  <si>
    <t>08:41</t>
  </si>
  <si>
    <t>9:35 AM</t>
  </si>
  <si>
    <t>6:17 PM</t>
  </si>
  <si>
    <t>08:42</t>
  </si>
  <si>
    <t>9:26 AM</t>
  </si>
  <si>
    <t>08:16</t>
  </si>
  <si>
    <t>5:54 PM</t>
  </si>
  <si>
    <t>08:26</t>
  </si>
  <si>
    <t>9:23 AM</t>
  </si>
  <si>
    <t>5:15 PM</t>
  </si>
  <si>
    <t>06:10</t>
  </si>
  <si>
    <t>9:19 AM</t>
  </si>
  <si>
    <t>5:21 PM</t>
  </si>
  <si>
    <t>08:02</t>
  </si>
  <si>
    <t>9:22 AM</t>
  </si>
  <si>
    <t>4:54 PM</t>
  </si>
  <si>
    <t>06:40</t>
  </si>
  <si>
    <t>9:46 AM</t>
  </si>
  <si>
    <t>4:57 PM</t>
  </si>
  <si>
    <t>07:11</t>
  </si>
  <si>
    <t>9:20 AM</t>
  </si>
  <si>
    <t>07:56</t>
  </si>
  <si>
    <t>KEVIN</t>
  </si>
  <si>
    <t>9:56 AM</t>
  </si>
  <si>
    <t>6:26 PM</t>
  </si>
  <si>
    <t>08:30</t>
  </si>
  <si>
    <t>09:04</t>
  </si>
  <si>
    <t>8:43 AM</t>
  </si>
  <si>
    <t>6:49 PM</t>
  </si>
  <si>
    <t>10:06</t>
  </si>
  <si>
    <t>9:10 AM</t>
  </si>
  <si>
    <t>09:28</t>
  </si>
  <si>
    <t>9:21 AM</t>
  </si>
  <si>
    <t>09:14</t>
  </si>
  <si>
    <t>9:06 AM</t>
  </si>
  <si>
    <t>6:24 PM</t>
  </si>
  <si>
    <t>09:18</t>
  </si>
  <si>
    <t>9:45 AM</t>
  </si>
  <si>
    <t>08:48</t>
  </si>
  <si>
    <t>08:56</t>
  </si>
  <si>
    <t>9:43 PM</t>
  </si>
  <si>
    <t>12:15</t>
  </si>
  <si>
    <t>9:39 AM</t>
  </si>
  <si>
    <t>6:34 PM</t>
  </si>
  <si>
    <t>6:56 PM</t>
  </si>
  <si>
    <t>5:55 PM</t>
  </si>
  <si>
    <t>09:16</t>
  </si>
  <si>
    <t>9:41 AM</t>
  </si>
  <si>
    <t>08:39</t>
  </si>
  <si>
    <t>6:09 PM</t>
  </si>
  <si>
    <t>6:01 PM</t>
  </si>
  <si>
    <t>6:14 PM</t>
  </si>
  <si>
    <t>VIRAL</t>
  </si>
  <si>
    <t>08:35</t>
  </si>
  <si>
    <t>9:54 AM</t>
  </si>
  <si>
    <t>08:20</t>
  </si>
  <si>
    <t>08:13</t>
  </si>
  <si>
    <t>9:52 AM</t>
  </si>
  <si>
    <t>08:32</t>
  </si>
  <si>
    <t>08:44</t>
  </si>
  <si>
    <t>5:04 PM</t>
  </si>
  <si>
    <t>08:19</t>
  </si>
  <si>
    <t>9:59 AM</t>
  </si>
  <si>
    <t>08:28</t>
  </si>
  <si>
    <t>9:58 AM</t>
  </si>
  <si>
    <t>6:30 PM</t>
  </si>
  <si>
    <t>6:19 PM</t>
  </si>
  <si>
    <t>08:29</t>
  </si>
  <si>
    <t>6:05 PM</t>
  </si>
  <si>
    <t>08:22</t>
  </si>
  <si>
    <t>08:12</t>
  </si>
  <si>
    <t>6:10 PM</t>
  </si>
  <si>
    <t>5:58 PM</t>
  </si>
  <si>
    <t>08:05</t>
  </si>
  <si>
    <t>RAMESH</t>
  </si>
  <si>
    <t>1:37 PM</t>
  </si>
  <si>
    <t>03:46</t>
  </si>
  <si>
    <t>09:08</t>
  </si>
  <si>
    <t>6:42 PM</t>
  </si>
  <si>
    <t>08:52</t>
  </si>
  <si>
    <t>06:32</t>
  </si>
  <si>
    <t>6:44 PM</t>
  </si>
  <si>
    <t>09:01</t>
  </si>
  <si>
    <t>9:44 AM</t>
  </si>
  <si>
    <t>08:33</t>
  </si>
  <si>
    <t>6:48 PM</t>
  </si>
  <si>
    <t>6:54 PM</t>
  </si>
  <si>
    <t>09:02</t>
  </si>
  <si>
    <t>6:12 PM</t>
  </si>
  <si>
    <t>9:24 AM</t>
  </si>
  <si>
    <t>09:09</t>
  </si>
  <si>
    <t>07:22</t>
  </si>
  <si>
    <t>9:31 AM</t>
  </si>
  <si>
    <t>6:04 PM</t>
  </si>
  <si>
    <t>08:24</t>
  </si>
  <si>
    <t>6:16 PM</t>
  </si>
  <si>
    <t>9:13 AM</t>
  </si>
  <si>
    <t>09:03</t>
  </si>
  <si>
    <t>SALMAN</t>
  </si>
  <si>
    <t>08:49</t>
  </si>
  <si>
    <t>6:51 PM</t>
  </si>
  <si>
    <t>08:58</t>
  </si>
  <si>
    <t>08:04</t>
  </si>
  <si>
    <t>9:32 AM</t>
  </si>
  <si>
    <t>08:51</t>
  </si>
  <si>
    <t>08:50</t>
  </si>
  <si>
    <t>7:02 PM</t>
  </si>
  <si>
    <t>08:31</t>
  </si>
  <si>
    <t>6:50 PM</t>
  </si>
  <si>
    <t>5:38 PM</t>
  </si>
  <si>
    <t>07:48</t>
  </si>
  <si>
    <t>5:43 PM</t>
  </si>
  <si>
    <t>07:55</t>
  </si>
  <si>
    <t>5:56 PM</t>
  </si>
  <si>
    <t>08:03</t>
  </si>
  <si>
    <t>4:13 PM</t>
  </si>
  <si>
    <t>06:24</t>
  </si>
  <si>
    <t>07:28</t>
  </si>
  <si>
    <t>08:21</t>
  </si>
  <si>
    <t>5:32 PM</t>
  </si>
  <si>
    <t>RINKESH</t>
  </si>
  <si>
    <t>6:39 PM</t>
  </si>
  <si>
    <t>07:51</t>
  </si>
  <si>
    <t>07:53</t>
  </si>
  <si>
    <t>06:27</t>
  </si>
  <si>
    <t>7:30 PM</t>
  </si>
  <si>
    <t>07:38</t>
  </si>
  <si>
    <t>07:45</t>
  </si>
  <si>
    <t>2:15 PM</t>
  </si>
  <si>
    <t>6:52 PM</t>
  </si>
  <si>
    <t>04:37</t>
  </si>
  <si>
    <t>07:01</t>
  </si>
  <si>
    <t>07:25</t>
  </si>
  <si>
    <t>07:09</t>
  </si>
  <si>
    <t>SANJIT CHHOTO</t>
  </si>
  <si>
    <t>9:15 AM</t>
  </si>
  <si>
    <t>09:25</t>
  </si>
  <si>
    <t>9:12 AM</t>
  </si>
  <si>
    <t>7:42 PM</t>
  </si>
  <si>
    <t>09:41</t>
  </si>
  <si>
    <t>08:07</t>
  </si>
  <si>
    <t>9:09 AM</t>
  </si>
  <si>
    <t>09:24</t>
  </si>
  <si>
    <t>9:04 AM</t>
  </si>
  <si>
    <t>8:55 AM</t>
  </si>
  <si>
    <t>4:19 PM</t>
  </si>
  <si>
    <t>07:24</t>
  </si>
  <si>
    <t>9:29 AM</t>
  </si>
  <si>
    <t>8:59 AM</t>
  </si>
  <si>
    <t>9:41 PM</t>
  </si>
  <si>
    <t>12:42</t>
  </si>
  <si>
    <t>8:50 AM</t>
  </si>
  <si>
    <t>09:20</t>
  </si>
  <si>
    <t>9:07 AM</t>
  </si>
  <si>
    <t>8:53 AM</t>
  </si>
  <si>
    <t>09:21</t>
  </si>
  <si>
    <t>TINA</t>
  </si>
  <si>
    <t>5:57 PM</t>
  </si>
  <si>
    <t>07:13</t>
  </si>
  <si>
    <t>07:44</t>
  </si>
  <si>
    <t>07:46</t>
  </si>
  <si>
    <t>07:20</t>
  </si>
  <si>
    <t>4:34 PM</t>
  </si>
  <si>
    <t>06:25</t>
  </si>
  <si>
    <t>5:47 PM</t>
  </si>
  <si>
    <t>07:29</t>
  </si>
  <si>
    <t>5:52 PM</t>
  </si>
  <si>
    <t>07:31</t>
  </si>
  <si>
    <t>07:39</t>
  </si>
  <si>
    <t>07:36</t>
  </si>
  <si>
    <t>5:40 PM</t>
  </si>
  <si>
    <t>07:26</t>
  </si>
  <si>
    <t>5:34 PM</t>
  </si>
  <si>
    <t>07:16</t>
  </si>
  <si>
    <t>5:45 PM</t>
  </si>
  <si>
    <t>07:30</t>
  </si>
  <si>
    <t>5:26 PM</t>
  </si>
  <si>
    <t>SAVAN</t>
  </si>
  <si>
    <t>3:06 PM</t>
  </si>
  <si>
    <t>03:17</t>
  </si>
  <si>
    <t>09:39</t>
  </si>
  <si>
    <t>09:15</t>
  </si>
  <si>
    <t>9:14 AM</t>
  </si>
  <si>
    <t>08:18</t>
  </si>
  <si>
    <t>AKIB</t>
  </si>
  <si>
    <t>TOTAL WORKING HOURS</t>
  </si>
  <si>
    <t>INTIME</t>
  </si>
  <si>
    <t>OUTTIME</t>
  </si>
  <si>
    <t>SUNDAY</t>
  </si>
  <si>
    <t>MONDAY</t>
  </si>
  <si>
    <t>TUESDAY</t>
  </si>
  <si>
    <t>WEDNESDAY</t>
  </si>
  <si>
    <t>THURSDAY</t>
  </si>
  <si>
    <t>FRIDAY</t>
  </si>
  <si>
    <t>5:29 PM</t>
  </si>
  <si>
    <t>SATURDAY</t>
  </si>
  <si>
    <t>5:37 PM</t>
  </si>
  <si>
    <t>07:42</t>
  </si>
  <si>
    <t>5:28 PM</t>
  </si>
  <si>
    <t>07:35</t>
  </si>
  <si>
    <t>5:41 PM</t>
  </si>
  <si>
    <t>07:47</t>
  </si>
  <si>
    <t>07:37</t>
  </si>
  <si>
    <t>5:11 PM</t>
  </si>
  <si>
    <t>3:03 PM</t>
  </si>
  <si>
    <t>05:28</t>
  </si>
  <si>
    <t>9:17 AM</t>
  </si>
  <si>
    <t>07:40</t>
  </si>
  <si>
    <t>5:22 PM</t>
  </si>
  <si>
    <t>07:04</t>
  </si>
  <si>
    <t>5:12 PM</t>
  </si>
  <si>
    <t>06:57</t>
  </si>
  <si>
    <t>5:18 PM</t>
  </si>
  <si>
    <t>07:17</t>
  </si>
  <si>
    <t>5:07 PM</t>
  </si>
  <si>
    <t>5:09 PM</t>
  </si>
  <si>
    <t>5:14 PM</t>
  </si>
  <si>
    <t>5:05 PM</t>
  </si>
  <si>
    <t>5:06 PM</t>
  </si>
  <si>
    <t>07:52</t>
  </si>
  <si>
    <t>06:26</t>
  </si>
  <si>
    <t>7:04 PM</t>
  </si>
  <si>
    <t>8:47 PM</t>
  </si>
  <si>
    <t>11:15</t>
  </si>
  <si>
    <t>10:16 AM</t>
  </si>
  <si>
    <t>07:10</t>
  </si>
  <si>
    <t>9:25 AM</t>
  </si>
  <si>
    <t>KEVIN PATEL</t>
  </si>
  <si>
    <t>6:15 PM</t>
  </si>
  <si>
    <t>08:37</t>
  </si>
  <si>
    <t>08:17</t>
  </si>
  <si>
    <t>5:35 PM</t>
  </si>
  <si>
    <t>6:07 PM</t>
  </si>
  <si>
    <t>08:36</t>
  </si>
  <si>
    <t>9:18 AM</t>
  </si>
  <si>
    <t>08:01</t>
  </si>
  <si>
    <t>08:09</t>
  </si>
  <si>
    <t>6:58 PM</t>
  </si>
  <si>
    <t>VIRAL CHAUDHARI</t>
  </si>
  <si>
    <t>10:25 AM</t>
  </si>
  <si>
    <t>5:03 PM</t>
  </si>
  <si>
    <t>06:38</t>
  </si>
  <si>
    <t>6:11 PM</t>
  </si>
  <si>
    <t>10:06 AM</t>
  </si>
  <si>
    <t>6:06 PM</t>
  </si>
  <si>
    <t>00:01</t>
  </si>
  <si>
    <t>9:57 AM</t>
  </si>
  <si>
    <t>07:02</t>
  </si>
  <si>
    <t>3:57 PM</t>
  </si>
  <si>
    <t>05:55</t>
  </si>
  <si>
    <t>08:27</t>
  </si>
  <si>
    <t>5:53 PM</t>
  </si>
  <si>
    <t>09:17</t>
  </si>
  <si>
    <t>5:59 PM</t>
  </si>
  <si>
    <t>7:09 PM</t>
  </si>
  <si>
    <t>09:31</t>
  </si>
  <si>
    <t>6:08 PM</t>
  </si>
  <si>
    <t>5:50 PM</t>
  </si>
  <si>
    <t>08:15</t>
  </si>
  <si>
    <t>8:48 PM</t>
  </si>
  <si>
    <t>10:54</t>
  </si>
  <si>
    <t>10:23 AM</t>
  </si>
  <si>
    <t>06:58</t>
  </si>
  <si>
    <t>10:22 AM</t>
  </si>
  <si>
    <t>07:23</t>
  </si>
  <si>
    <t>5:31 PM</t>
  </si>
  <si>
    <t>07:14</t>
  </si>
  <si>
    <t>12:00 PM</t>
  </si>
  <si>
    <t>05:56</t>
  </si>
  <si>
    <t>10:53 AM</t>
  </si>
  <si>
    <t>7:06 PM</t>
  </si>
  <si>
    <t>08:14</t>
  </si>
  <si>
    <t>5:48 PM</t>
  </si>
  <si>
    <t>06:55</t>
  </si>
  <si>
    <t>11:02 AM</t>
  </si>
  <si>
    <t>06:41</t>
  </si>
  <si>
    <t>11:23 AM</t>
  </si>
  <si>
    <t>07:06</t>
  </si>
  <si>
    <t>10:54 AM</t>
  </si>
  <si>
    <t>10:51 AM</t>
  </si>
  <si>
    <t>11:04 AM</t>
  </si>
  <si>
    <t>1:33 PM</t>
  </si>
  <si>
    <t>05:11</t>
  </si>
  <si>
    <t>SAJEET R MAHATO</t>
  </si>
  <si>
    <t>8:56 AM</t>
  </si>
  <si>
    <t>09:29</t>
  </si>
  <si>
    <t>9:03 AM</t>
  </si>
  <si>
    <t>8:54 AM</t>
  </si>
  <si>
    <t>09:22</t>
  </si>
  <si>
    <t>8:57 AM</t>
  </si>
  <si>
    <t>8:52 AM</t>
  </si>
  <si>
    <t>8:48 AM</t>
  </si>
  <si>
    <t>09:35</t>
  </si>
  <si>
    <t>8:49 AM</t>
  </si>
  <si>
    <t>9:05 AM</t>
  </si>
  <si>
    <t>3:02 PM</t>
  </si>
  <si>
    <t>05:57</t>
  </si>
  <si>
    <t>8:45 AM</t>
  </si>
  <si>
    <t>5:01 PM</t>
  </si>
  <si>
    <t>09:30</t>
  </si>
  <si>
    <t>8:51 AM</t>
  </si>
  <si>
    <t>8:47 AM</t>
  </si>
  <si>
    <t>09:38</t>
  </si>
  <si>
    <t>09:53</t>
  </si>
  <si>
    <t>8:46 AM</t>
  </si>
  <si>
    <t>09:40</t>
  </si>
  <si>
    <t>8:41 AM</t>
  </si>
  <si>
    <t>09:57</t>
  </si>
  <si>
    <t>TINABEN</t>
  </si>
  <si>
    <t>3:59 PM</t>
  </si>
  <si>
    <t>05:42</t>
  </si>
  <si>
    <t>07:33</t>
  </si>
  <si>
    <t>06:47</t>
  </si>
  <si>
    <t>10:24 AM</t>
  </si>
  <si>
    <t>5:30 PM</t>
  </si>
  <si>
    <t>07:12</t>
  </si>
  <si>
    <t>4:02 PM</t>
  </si>
  <si>
    <t>05:37</t>
  </si>
  <si>
    <t>4:58 PM</t>
  </si>
  <si>
    <t>06:35</t>
  </si>
  <si>
    <t>SAVANBHAI HALPATI</t>
  </si>
  <si>
    <t>9:11 AM</t>
  </si>
  <si>
    <t>8:46 PM</t>
  </si>
  <si>
    <t>9:08 AM</t>
  </si>
  <si>
    <t>EID HOLYDAY</t>
  </si>
  <si>
    <t>ABSENT</t>
  </si>
  <si>
    <t>HOLI HOLIDAY</t>
  </si>
  <si>
    <t>1:57 PM</t>
  </si>
  <si>
    <t>04:42</t>
  </si>
  <si>
    <t>1:14 PM</t>
  </si>
  <si>
    <t>03:34</t>
  </si>
  <si>
    <t>5:24 PM</t>
  </si>
  <si>
    <t>07:41</t>
  </si>
  <si>
    <t>6:43 PM</t>
  </si>
  <si>
    <t>6:45 PM</t>
  </si>
  <si>
    <t>6:03 PM</t>
  </si>
  <si>
    <t>09:23</t>
  </si>
  <si>
    <t>6:18 PM</t>
  </si>
  <si>
    <t>3:12 PM</t>
  </si>
  <si>
    <t>05:45</t>
  </si>
  <si>
    <t>09:44</t>
  </si>
  <si>
    <t>09:47</t>
  </si>
  <si>
    <t>4:11 PM</t>
  </si>
  <si>
    <t>06:42</t>
  </si>
  <si>
    <t>09:07</t>
  </si>
  <si>
    <t>09:27</t>
  </si>
  <si>
    <t>4:48 PM</t>
  </si>
  <si>
    <t>5:20 PM</t>
  </si>
  <si>
    <t>08:23</t>
  </si>
  <si>
    <t>08:40</t>
  </si>
  <si>
    <t>5:51 PM</t>
  </si>
  <si>
    <t>09:13</t>
  </si>
  <si>
    <t>09:10</t>
  </si>
  <si>
    <t>7:07 PM</t>
  </si>
  <si>
    <t>09:12</t>
  </si>
  <si>
    <t>06:39</t>
  </si>
  <si>
    <t>7:12 PM</t>
  </si>
  <si>
    <t>09:59</t>
  </si>
  <si>
    <t>6:53 PM</t>
  </si>
  <si>
    <t>10:56 AM</t>
  </si>
  <si>
    <t>11:08 AM</t>
  </si>
  <si>
    <t>11:16 AM</t>
  </si>
  <si>
    <t>6:21 PM</t>
  </si>
  <si>
    <t>08:06</t>
  </si>
  <si>
    <t>11:10 AM</t>
  </si>
  <si>
    <t>07:18</t>
  </si>
  <si>
    <t>4:00 PM</t>
  </si>
  <si>
    <t>8:44 AM</t>
  </si>
  <si>
    <t>8:42 AM</t>
  </si>
  <si>
    <t>09:43</t>
  </si>
  <si>
    <t>09:48</t>
  </si>
  <si>
    <t>8:37 AM</t>
  </si>
  <si>
    <t>10:11</t>
  </si>
  <si>
    <t>6:02 PM</t>
  </si>
  <si>
    <t>09:34</t>
  </si>
  <si>
    <t>8:38 AM</t>
  </si>
  <si>
    <t>10:07</t>
  </si>
  <si>
    <t>8:40 AM</t>
  </si>
  <si>
    <t>09:42</t>
  </si>
  <si>
    <t>10:25</t>
  </si>
  <si>
    <t>09:50</t>
  </si>
  <si>
    <t>8:39 AM</t>
  </si>
  <si>
    <t>09:54</t>
  </si>
  <si>
    <t>8:32 AM</t>
  </si>
  <si>
    <t>09:46</t>
  </si>
  <si>
    <t>8:34 AM</t>
  </si>
  <si>
    <t>09:32</t>
  </si>
  <si>
    <t>HALF DAY</t>
  </si>
  <si>
    <t>08:45</t>
  </si>
  <si>
    <t>5:19 PM</t>
  </si>
  <si>
    <t>7:19 PM</t>
  </si>
  <si>
    <t>7:38 PM</t>
  </si>
  <si>
    <t>10:24</t>
  </si>
  <si>
    <t>8:52 PM</t>
  </si>
  <si>
    <t>11:26</t>
  </si>
  <si>
    <t>09:37</t>
  </si>
  <si>
    <t>11:06 AM</t>
  </si>
  <si>
    <t>7:41 PM</t>
  </si>
  <si>
    <t>2:23 PM</t>
  </si>
  <si>
    <t>04:16</t>
  </si>
  <si>
    <t>11:12 AM</t>
  </si>
  <si>
    <t>2:52 PM</t>
  </si>
  <si>
    <t>10:32 AM</t>
  </si>
  <si>
    <t>08:08</t>
  </si>
  <si>
    <t>09:26</t>
  </si>
  <si>
    <t>8:02 PM</t>
  </si>
  <si>
    <t>10:34</t>
  </si>
  <si>
    <t>7:14 PM</t>
  </si>
  <si>
    <t>09:49</t>
  </si>
  <si>
    <t>4:22 PM</t>
  </si>
  <si>
    <t>7:00 PM</t>
  </si>
  <si>
    <t>6:59 PM</t>
  </si>
  <si>
    <t>4:40 PM</t>
  </si>
  <si>
    <t>06:44</t>
  </si>
  <si>
    <t>11:36 AM</t>
  </si>
  <si>
    <t>7:36 PM</t>
  </si>
  <si>
    <t>7:22 PM</t>
  </si>
  <si>
    <t>6:55 PM</t>
  </si>
  <si>
    <t>7:29 PM</t>
  </si>
  <si>
    <t>2:13 PM</t>
  </si>
  <si>
    <t>04:23</t>
  </si>
  <si>
    <t>7:34 PM</t>
  </si>
  <si>
    <t>09:33</t>
  </si>
  <si>
    <t>10:31 AM</t>
  </si>
  <si>
    <t>07:58</t>
  </si>
  <si>
    <t>10:46 AM</t>
  </si>
  <si>
    <t>11:26 AM</t>
  </si>
  <si>
    <t>05:32</t>
  </si>
  <si>
    <t>2:22 PM</t>
  </si>
  <si>
    <t>1:13 PM</t>
  </si>
  <si>
    <t>05:21</t>
  </si>
  <si>
    <t>11:29 AM</t>
  </si>
  <si>
    <t>11:42 AM</t>
  </si>
  <si>
    <t>10:58 AM</t>
  </si>
  <si>
    <t>10:41 AM</t>
  </si>
  <si>
    <t>5:25 PM</t>
  </si>
  <si>
    <t>06:23</t>
  </si>
  <si>
    <t>11:53 AM</t>
  </si>
  <si>
    <t>10:01</t>
  </si>
  <si>
    <t>10:00</t>
  </si>
  <si>
    <t>8:36 AM</t>
  </si>
  <si>
    <t>09:51</t>
  </si>
  <si>
    <t>8:16 AM</t>
  </si>
  <si>
    <t>10:08</t>
  </si>
  <si>
    <t>8:03 PM</t>
  </si>
  <si>
    <t>11:22</t>
  </si>
  <si>
    <t>8:33 AM</t>
  </si>
  <si>
    <t>3:56 PM</t>
  </si>
  <si>
    <t>05:47</t>
  </si>
  <si>
    <t>4:51 PM</t>
  </si>
  <si>
    <t>4:59 PM</t>
  </si>
  <si>
    <t>7:18 PM</t>
  </si>
  <si>
    <t>7:11 PM</t>
  </si>
  <si>
    <t>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</si>
</sst>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[$-10409]hh:mm\ AM/PM;@"/>
    <numFmt numFmtId="165" formatCode="[h]:mm"/>
    <numFmt numFmtId="166" formatCode="[$-14009]hh:mm;@"/>
  </numFmts>
  <fonts count="18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000000"/>
      <name val="Calibri Light"/>
      <family val="2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 Light"/>
      <family val="2"/>
    </font>
    <font>
      <b/>
      <sz val="11"/>
      <color rgb="FFFF0000"/>
      <name val="Calibri"/>
      <family val="2"/>
    </font>
    <font>
      <b/>
      <sz val="10"/>
      <color rgb="FFFF0000"/>
      <name val="Calibri Light"/>
      <family val="2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2">
    <xf numFmtId="0" fontId="0" fillId="0" borderId="0"/>
    <xf numFmtId="43" fontId="17" fillId="0" borderId="0" applyFont="0" applyFill="0" applyBorder="0" applyAlignment="0" applyProtection="0"/>
  </cellStyleXfs>
  <cellXfs count="63">
    <xf numFmtId="0" fontId="0" fillId="0" borderId="0" xfId="0"/>
    <xf numFmtId="0" fontId="0" fillId="0" borderId="1" xfId="0" applyBorder="1" applyAlignment="1">
      <alignment horizontal="center" vertical="center" wrapText="1"/>
    </xf>
    <xf numFmtId="20" fontId="2" fillId="0" borderId="1" xfId="0" applyNumberFormat="1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readingOrder="1"/>
    </xf>
    <xf numFmtId="165" fontId="2" fillId="0" borderId="1" xfId="0" applyNumberFormat="1" applyFont="1" applyBorder="1" applyAlignment="1">
      <alignment horizontal="center" vertical="center" wrapText="1" readingOrder="1"/>
    </xf>
    <xf numFmtId="166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 readingOrder="1"/>
    </xf>
    <xf numFmtId="18" fontId="5" fillId="0" borderId="1" xfId="0" applyNumberFormat="1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 readingOrder="1"/>
    </xf>
    <xf numFmtId="166" fontId="4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readingOrder="1"/>
    </xf>
    <xf numFmtId="14" fontId="9" fillId="0" borderId="1" xfId="0" applyNumberFormat="1" applyFont="1" applyBorder="1" applyAlignment="1">
      <alignment horizontal="center" vertical="center" readingOrder="1"/>
    </xf>
    <xf numFmtId="0" fontId="12" fillId="0" borderId="1" xfId="0" applyFont="1" applyBorder="1" applyAlignment="1">
      <alignment vertical="center" readingOrder="1"/>
    </xf>
    <xf numFmtId="20" fontId="10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readingOrder="1"/>
    </xf>
    <xf numFmtId="0" fontId="11" fillId="0" borderId="1" xfId="0" applyFont="1" applyBorder="1" applyAlignment="1">
      <alignment horizontal="center" vertical="center" readingOrder="1"/>
    </xf>
    <xf numFmtId="0" fontId="13" fillId="0" borderId="5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 wrapText="1" readingOrder="1"/>
    </xf>
    <xf numFmtId="14" fontId="9" fillId="0" borderId="1" xfId="0" applyNumberFormat="1" applyFont="1" applyBorder="1" applyAlignment="1">
      <alignment horizontal="center" vertical="center" wrapText="1" readingOrder="1"/>
    </xf>
    <xf numFmtId="20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6" fontId="10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 readingOrder="1"/>
    </xf>
    <xf numFmtId="0" fontId="13" fillId="0" borderId="6" xfId="0" applyFont="1" applyBorder="1" applyAlignment="1">
      <alignment horizontal="center" vertical="center" wrapText="1" readingOrder="1"/>
    </xf>
    <xf numFmtId="0" fontId="15" fillId="0" borderId="7" xfId="0" applyFont="1" applyBorder="1" applyAlignment="1">
      <alignment horizontal="center" vertical="center" wrapText="1" readingOrder="1"/>
    </xf>
    <xf numFmtId="0" fontId="13" fillId="0" borderId="7" xfId="0" applyFont="1" applyBorder="1" applyAlignment="1">
      <alignment horizontal="center" vertical="center" wrapText="1" readingOrder="1"/>
    </xf>
    <xf numFmtId="0" fontId="13" fillId="0" borderId="1" xfId="0" applyFont="1" applyBorder="1" applyAlignment="1">
      <alignment horizontal="center" vertical="center" wrapText="1" readingOrder="1"/>
    </xf>
    <xf numFmtId="20" fontId="13" fillId="0" borderId="1" xfId="0" applyNumberFormat="1" applyFont="1" applyBorder="1" applyAlignment="1">
      <alignment horizontal="center" vertical="center" wrapText="1" readingOrder="1"/>
    </xf>
    <xf numFmtId="0" fontId="11" fillId="0" borderId="1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165" fontId="10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/>
    <xf numFmtId="0" fontId="13" fillId="0" borderId="1" xfId="0" applyNumberFormat="1" applyFont="1" applyFill="1" applyBorder="1" applyAlignment="1">
      <alignment horizontal="center" vertical="center" wrapText="1" readingOrder="1"/>
    </xf>
    <xf numFmtId="0" fontId="12" fillId="0" borderId="1" xfId="0" applyFont="1" applyBorder="1" applyAlignment="1">
      <alignment horizontal="center" vertical="center" wrapText="1" readingOrder="1"/>
    </xf>
    <xf numFmtId="0" fontId="16" fillId="0" borderId="1" xfId="0" applyFont="1" applyBorder="1" applyAlignment="1">
      <alignment wrapText="1"/>
    </xf>
    <xf numFmtId="0" fontId="11" fillId="0" borderId="1" xfId="0" applyFont="1" applyBorder="1" applyAlignment="1">
      <alignment horizontal="center" vertical="center" wrapText="1" readingOrder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 readingOrder="1"/>
    </xf>
    <xf numFmtId="0" fontId="11" fillId="0" borderId="3" xfId="0" applyFont="1" applyBorder="1" applyAlignment="1">
      <alignment horizontal="center" vertical="center" readingOrder="1"/>
    </xf>
    <xf numFmtId="0" fontId="11" fillId="0" borderId="4" xfId="0" applyFont="1" applyBorder="1" applyAlignment="1">
      <alignment horizontal="center" vertical="center" readingOrder="1"/>
    </xf>
  </cellXfs>
  <cellStyles count="2">
    <cellStyle name="Comma 2" xfId="1"/>
    <cellStyle name="Normal" xfId="0" builtinId="0"/>
  </cellStyles>
  <dxfs count="5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0"/>
  <sheetViews>
    <sheetView workbookViewId="0">
      <pane ySplit="1" topLeftCell="A2" activePane="bottomLeft" state="frozen"/>
      <selection pane="bottomLeft" activeCell="H2" sqref="H2"/>
    </sheetView>
  </sheetViews>
  <sheetFormatPr defaultColWidth="9.140625" defaultRowHeight="15" x14ac:dyDescent="0.25"/>
  <cols>
    <col min="1" max="1" width="18.7109375" style="3" customWidth="1"/>
    <col min="2" max="2" width="11.5703125" style="3" bestFit="1" customWidth="1"/>
    <col min="3" max="3" width="13" style="1" customWidth="1"/>
    <col min="4" max="4" width="10.5703125" style="15" customWidth="1"/>
    <col min="5" max="5" width="11" style="15" customWidth="1"/>
    <col min="6" max="6" width="9.42578125" style="3" customWidth="1"/>
    <col min="7" max="7" width="9.7109375" style="3" customWidth="1"/>
    <col min="8" max="8" width="11.7109375" style="16" customWidth="1"/>
    <col min="9" max="16384" width="9.140625" style="3"/>
  </cols>
  <sheetData>
    <row r="1" spans="1:9" s="4" customFormat="1" ht="45" x14ac:dyDescent="0.25">
      <c r="A1" s="4" t="s">
        <v>0</v>
      </c>
      <c r="B1" s="4" t="s">
        <v>1</v>
      </c>
      <c r="C1" s="4" t="s">
        <v>31</v>
      </c>
      <c r="D1" s="11" t="s">
        <v>2</v>
      </c>
      <c r="E1" s="11" t="s">
        <v>3</v>
      </c>
      <c r="F1" s="4" t="s">
        <v>4</v>
      </c>
      <c r="G1" s="12" t="s">
        <v>5</v>
      </c>
      <c r="H1" s="13" t="s">
        <v>6</v>
      </c>
    </row>
    <row r="2" spans="1:9" x14ac:dyDescent="0.25">
      <c r="A2" s="6" t="s">
        <v>48</v>
      </c>
      <c r="B2" s="7">
        <v>46023</v>
      </c>
      <c r="C2" s="7" t="str">
        <f>TEXT(B2, "dddd")</f>
        <v>Thursday</v>
      </c>
      <c r="D2" s="5" t="s">
        <v>7</v>
      </c>
      <c r="E2" s="5" t="s">
        <v>8</v>
      </c>
      <c r="F2" s="6" t="str">
        <f>IF(C2="Sunday", "SUNDAY", IF(OR(D2=0, D2="", D2="0:0"), "ABSENT", IF(MOD(D2,1) &gt; TIME(9,45,0), "LATE", "OK")))</f>
        <v>OK</v>
      </c>
      <c r="G2" s="14">
        <f>IF(OR(D2=0, D2="", E2=0, E2=""), 0, (E2-D2)-TIME(1,0,0))</f>
        <v>0.34583333333333333</v>
      </c>
      <c r="H2" s="8" t="str">
        <f>IF(VALUE(E2) &gt; TIME(19,0,0), TEXT(VALUE(E2) - TIME(19,0,0), "hh:mm"), "NO OT")</f>
        <v>NO OT</v>
      </c>
    </row>
    <row r="3" spans="1:9" x14ac:dyDescent="0.25">
      <c r="A3" s="6" t="s">
        <v>48</v>
      </c>
      <c r="B3" s="7">
        <v>46024</v>
      </c>
      <c r="C3" s="7" t="str">
        <f t="shared" ref="C3:C66" si="0">TEXT(B3, "dddd")</f>
        <v>Friday</v>
      </c>
      <c r="D3" s="5" t="s">
        <v>9</v>
      </c>
      <c r="E3" s="5" t="s">
        <v>10</v>
      </c>
      <c r="F3" s="6" t="str">
        <f t="shared" ref="F3:F4" si="1">IF(C3="Sunday", "SUNDAY", IF(OR(D3=0, D3="", D3="0:0"), "ABSENT", IF(MOD(D3,1) &gt; TIME(9,45,0), "LATE", "OK")))</f>
        <v>OK</v>
      </c>
      <c r="G3" s="14">
        <f>IF(OR(D3=0, D3="", E3=0, E3=""), 0, (E3-D3)-TIME(1,0,0))</f>
        <v>0.3263888888888889</v>
      </c>
      <c r="H3" s="8" t="str">
        <f t="shared" ref="H3:H66" si="2">IF(VALUE(E3) &gt; TIME(19,0,0), TEXT(VALUE(E3) - TIME(19,0,0), "hh:mm"), "NO OT")</f>
        <v>NO OT</v>
      </c>
    </row>
    <row r="4" spans="1:9" x14ac:dyDescent="0.25">
      <c r="A4" s="6" t="s">
        <v>48</v>
      </c>
      <c r="B4" s="7">
        <v>46025</v>
      </c>
      <c r="C4" s="7" t="str">
        <f t="shared" si="0"/>
        <v>Saturday</v>
      </c>
      <c r="D4" s="5" t="s">
        <v>11</v>
      </c>
      <c r="E4" s="2" t="s">
        <v>32</v>
      </c>
      <c r="F4" s="6" t="str">
        <f t="shared" si="1"/>
        <v>OK</v>
      </c>
      <c r="G4" s="14">
        <f>IF(OR(D4=0, D4="", E4=0, E4="", E4&lt;D4), 0, MAX(0, (E4-D4)-TIME(1,0,0)))</f>
        <v>0</v>
      </c>
      <c r="H4" s="8" t="str">
        <f t="shared" si="2"/>
        <v>NO OT</v>
      </c>
    </row>
    <row r="5" spans="1:9" x14ac:dyDescent="0.25">
      <c r="A5" s="6" t="s">
        <v>48</v>
      </c>
      <c r="B5" s="7">
        <v>46026</v>
      </c>
      <c r="C5" s="56" t="str">
        <f t="shared" si="0"/>
        <v>Sunday</v>
      </c>
      <c r="D5" s="56"/>
      <c r="E5" s="56"/>
      <c r="F5" s="56"/>
      <c r="G5" s="56"/>
      <c r="H5" s="56"/>
    </row>
    <row r="6" spans="1:9" x14ac:dyDescent="0.25">
      <c r="A6" s="6" t="s">
        <v>48</v>
      </c>
      <c r="B6" s="7">
        <v>46027</v>
      </c>
      <c r="C6" s="7" t="str">
        <f t="shared" si="0"/>
        <v>Monday</v>
      </c>
      <c r="D6" s="5" t="s">
        <v>13</v>
      </c>
      <c r="E6" s="2" t="s">
        <v>33</v>
      </c>
      <c r="F6" s="6" t="str">
        <f t="shared" ref="F6:F69" si="3">IF(C6="Sunday", "SUNDAY", IF(OR(D6=0, D6="", D6="0:0"), "ABSENT", IF(MOD(D6,1) &gt; TIME(9,45,0), "LATE", "OK")))</f>
        <v>LATE</v>
      </c>
      <c r="G6" s="14">
        <f t="shared" ref="G6:G68" si="4">IF(OR(D6=0, D6="", E6=0, E6=""), 0, (E6-D6)-TIME(1,0,0))</f>
        <v>0.3076388888888888</v>
      </c>
      <c r="H6" s="8" t="str">
        <f t="shared" si="2"/>
        <v>NO OT</v>
      </c>
      <c r="I6" s="3">
        <v>6</v>
      </c>
    </row>
    <row r="7" spans="1:9" x14ac:dyDescent="0.25">
      <c r="A7" s="6" t="s">
        <v>48</v>
      </c>
      <c r="B7" s="7">
        <v>46028</v>
      </c>
      <c r="C7" s="7" t="str">
        <f t="shared" si="0"/>
        <v>Tuesday</v>
      </c>
      <c r="D7" s="5" t="s">
        <v>14</v>
      </c>
      <c r="E7" s="2" t="s">
        <v>34</v>
      </c>
      <c r="F7" s="6" t="str">
        <f t="shared" si="3"/>
        <v>OK</v>
      </c>
      <c r="G7" s="14">
        <f t="shared" si="4"/>
        <v>0.33680555555555558</v>
      </c>
      <c r="H7" s="8" t="str">
        <f t="shared" si="2"/>
        <v>NO OT</v>
      </c>
    </row>
    <row r="8" spans="1:9" x14ac:dyDescent="0.25">
      <c r="A8" s="6" t="s">
        <v>48</v>
      </c>
      <c r="B8" s="7">
        <v>46029</v>
      </c>
      <c r="C8" s="7" t="str">
        <f t="shared" si="0"/>
        <v>Wednesday</v>
      </c>
      <c r="D8" s="5" t="s">
        <v>15</v>
      </c>
      <c r="E8" s="2" t="s">
        <v>35</v>
      </c>
      <c r="F8" s="6" t="str">
        <f t="shared" si="3"/>
        <v>OK</v>
      </c>
      <c r="G8" s="14">
        <f t="shared" si="4"/>
        <v>0.33888888888888885</v>
      </c>
      <c r="H8" s="8" t="str">
        <f t="shared" si="2"/>
        <v>NO OT</v>
      </c>
    </row>
    <row r="9" spans="1:9" x14ac:dyDescent="0.25">
      <c r="A9" s="6" t="s">
        <v>48</v>
      </c>
      <c r="B9" s="7">
        <v>46030</v>
      </c>
      <c r="C9" s="7" t="str">
        <f t="shared" si="0"/>
        <v>Thursday</v>
      </c>
      <c r="D9" s="5" t="s">
        <v>9</v>
      </c>
      <c r="E9" s="2" t="s">
        <v>36</v>
      </c>
      <c r="F9" s="6" t="str">
        <f t="shared" si="3"/>
        <v>OK</v>
      </c>
      <c r="G9" s="14">
        <f t="shared" si="4"/>
        <v>0.32847222222222222</v>
      </c>
      <c r="H9" s="8" t="str">
        <f t="shared" si="2"/>
        <v>NO OT</v>
      </c>
    </row>
    <row r="10" spans="1:9" x14ac:dyDescent="0.25">
      <c r="A10" s="6" t="s">
        <v>48</v>
      </c>
      <c r="B10" s="7">
        <v>46031</v>
      </c>
      <c r="C10" s="7" t="str">
        <f t="shared" si="0"/>
        <v>Friday</v>
      </c>
      <c r="D10" s="5" t="s">
        <v>16</v>
      </c>
      <c r="E10" s="2" t="s">
        <v>10</v>
      </c>
      <c r="F10" s="6" t="str">
        <f t="shared" si="3"/>
        <v>OK</v>
      </c>
      <c r="G10" s="14">
        <f t="shared" si="4"/>
        <v>0.33750000000000002</v>
      </c>
      <c r="H10" s="8" t="str">
        <f t="shared" si="2"/>
        <v>NO OT</v>
      </c>
    </row>
    <row r="11" spans="1:9" x14ac:dyDescent="0.25">
      <c r="A11" s="6" t="s">
        <v>48</v>
      </c>
      <c r="B11" s="7">
        <v>46032</v>
      </c>
      <c r="C11" s="7" t="str">
        <f t="shared" si="0"/>
        <v>Saturday</v>
      </c>
      <c r="D11" s="5" t="s">
        <v>17</v>
      </c>
      <c r="E11" s="2" t="s">
        <v>10</v>
      </c>
      <c r="F11" s="6" t="str">
        <f t="shared" si="3"/>
        <v>OK</v>
      </c>
      <c r="G11" s="14">
        <f t="shared" si="4"/>
        <v>0.32222222222222224</v>
      </c>
      <c r="H11" s="8" t="str">
        <f t="shared" si="2"/>
        <v>NO OT</v>
      </c>
    </row>
    <row r="12" spans="1:9" x14ac:dyDescent="0.25">
      <c r="A12" s="6" t="s">
        <v>48</v>
      </c>
      <c r="B12" s="7">
        <v>46033</v>
      </c>
      <c r="C12" s="56" t="str">
        <f t="shared" ref="C12" si="5">TEXT(B12, "dddd")</f>
        <v>Sunday</v>
      </c>
      <c r="D12" s="56"/>
      <c r="E12" s="56"/>
      <c r="F12" s="56"/>
      <c r="G12" s="56"/>
      <c r="H12" s="56"/>
    </row>
    <row r="13" spans="1:9" x14ac:dyDescent="0.25">
      <c r="A13" s="6" t="s">
        <v>48</v>
      </c>
      <c r="B13" s="7">
        <v>46034</v>
      </c>
      <c r="C13" s="7" t="str">
        <f t="shared" si="0"/>
        <v>Monday</v>
      </c>
      <c r="D13" s="5" t="s">
        <v>18</v>
      </c>
      <c r="E13" s="2" t="s">
        <v>37</v>
      </c>
      <c r="F13" s="6" t="str">
        <f t="shared" si="3"/>
        <v>OK</v>
      </c>
      <c r="G13" s="14">
        <f t="shared" si="4"/>
        <v>0.44374999999999998</v>
      </c>
      <c r="H13" s="8" t="str">
        <f t="shared" si="2"/>
        <v>02:00</v>
      </c>
    </row>
    <row r="14" spans="1:9" x14ac:dyDescent="0.25">
      <c r="A14" s="6" t="s">
        <v>48</v>
      </c>
      <c r="B14" s="7">
        <v>46035</v>
      </c>
      <c r="C14" s="7" t="str">
        <f t="shared" si="0"/>
        <v>Tuesday</v>
      </c>
      <c r="D14" s="5" t="s">
        <v>11</v>
      </c>
      <c r="E14" s="2" t="s">
        <v>38</v>
      </c>
      <c r="F14" s="6" t="str">
        <f t="shared" si="3"/>
        <v>OK</v>
      </c>
      <c r="G14" s="14">
        <f t="shared" si="4"/>
        <v>0.33888888888888891</v>
      </c>
      <c r="H14" s="8" t="str">
        <f t="shared" si="2"/>
        <v>NO OT</v>
      </c>
    </row>
    <row r="15" spans="1:9" x14ac:dyDescent="0.25">
      <c r="A15" s="6" t="s">
        <v>48</v>
      </c>
      <c r="B15" s="7">
        <v>46036</v>
      </c>
      <c r="C15" s="7" t="str">
        <f t="shared" si="0"/>
        <v>Wednesday</v>
      </c>
      <c r="D15" s="5" t="s">
        <v>12</v>
      </c>
      <c r="E15" s="2" t="s">
        <v>12</v>
      </c>
      <c r="F15" s="57" t="s">
        <v>160</v>
      </c>
      <c r="G15" s="57"/>
      <c r="H15" s="57"/>
      <c r="I15" s="3">
        <v>1</v>
      </c>
    </row>
    <row r="16" spans="1:9" x14ac:dyDescent="0.25">
      <c r="A16" s="6" t="s">
        <v>48</v>
      </c>
      <c r="B16" s="7">
        <v>46037</v>
      </c>
      <c r="C16" s="7" t="str">
        <f t="shared" si="0"/>
        <v>Thursday</v>
      </c>
      <c r="D16" s="5" t="s">
        <v>19</v>
      </c>
      <c r="E16" s="2" t="s">
        <v>39</v>
      </c>
      <c r="F16" s="6" t="str">
        <f t="shared" si="3"/>
        <v>OK</v>
      </c>
      <c r="G16" s="14">
        <f t="shared" si="4"/>
        <v>0.32916666666666672</v>
      </c>
      <c r="H16" s="8" t="str">
        <f t="shared" si="2"/>
        <v>NO OT</v>
      </c>
    </row>
    <row r="17" spans="1:9" x14ac:dyDescent="0.25">
      <c r="A17" s="6" t="s">
        <v>48</v>
      </c>
      <c r="B17" s="7">
        <v>46038</v>
      </c>
      <c r="C17" s="7" t="str">
        <f t="shared" si="0"/>
        <v>Friday</v>
      </c>
      <c r="D17" s="5" t="s">
        <v>20</v>
      </c>
      <c r="E17" s="2" t="s">
        <v>40</v>
      </c>
      <c r="F17" s="6" t="str">
        <f t="shared" si="3"/>
        <v>OK</v>
      </c>
      <c r="G17" s="14">
        <f t="shared" si="4"/>
        <v>0.34722222222222221</v>
      </c>
      <c r="H17" s="8" t="str">
        <f t="shared" si="2"/>
        <v>NO OT</v>
      </c>
    </row>
    <row r="18" spans="1:9" x14ac:dyDescent="0.25">
      <c r="A18" s="6" t="s">
        <v>48</v>
      </c>
      <c r="B18" s="7">
        <v>46039</v>
      </c>
      <c r="C18" s="7" t="str">
        <f t="shared" si="0"/>
        <v>Saturday</v>
      </c>
      <c r="D18" s="5" t="s">
        <v>21</v>
      </c>
      <c r="E18" s="2" t="s">
        <v>41</v>
      </c>
      <c r="F18" s="6" t="str">
        <f t="shared" si="3"/>
        <v>OK</v>
      </c>
      <c r="G18" s="14">
        <f t="shared" si="4"/>
        <v>0.2722222222222222</v>
      </c>
      <c r="H18" s="8" t="str">
        <f t="shared" si="2"/>
        <v>NO OT</v>
      </c>
    </row>
    <row r="19" spans="1:9" x14ac:dyDescent="0.25">
      <c r="A19" s="6" t="s">
        <v>48</v>
      </c>
      <c r="B19" s="7">
        <v>46040</v>
      </c>
      <c r="C19" s="56" t="str">
        <f t="shared" ref="C19" si="6">TEXT(B19, "dddd")</f>
        <v>Sunday</v>
      </c>
      <c r="D19" s="56"/>
      <c r="E19" s="56"/>
      <c r="F19" s="56"/>
      <c r="G19" s="56"/>
      <c r="H19" s="56"/>
    </row>
    <row r="20" spans="1:9" x14ac:dyDescent="0.25">
      <c r="A20" s="6" t="s">
        <v>48</v>
      </c>
      <c r="B20" s="7">
        <v>46041</v>
      </c>
      <c r="C20" s="7" t="str">
        <f t="shared" si="0"/>
        <v>Monday</v>
      </c>
      <c r="D20" s="5" t="s">
        <v>22</v>
      </c>
      <c r="E20" s="2" t="s">
        <v>35</v>
      </c>
      <c r="F20" s="6" t="str">
        <f t="shared" si="3"/>
        <v>LATE</v>
      </c>
      <c r="G20" s="14">
        <f t="shared" si="4"/>
        <v>0.30208333333333331</v>
      </c>
      <c r="H20" s="8" t="str">
        <f t="shared" si="2"/>
        <v>NO OT</v>
      </c>
      <c r="I20" s="3">
        <v>5</v>
      </c>
    </row>
    <row r="21" spans="1:9" x14ac:dyDescent="0.25">
      <c r="A21" s="6" t="s">
        <v>48</v>
      </c>
      <c r="B21" s="7">
        <v>46042</v>
      </c>
      <c r="C21" s="7" t="str">
        <f t="shared" si="0"/>
        <v>Tuesday</v>
      </c>
      <c r="D21" s="5" t="s">
        <v>23</v>
      </c>
      <c r="E21" s="2" t="s">
        <v>42</v>
      </c>
      <c r="F21" s="6" t="str">
        <f t="shared" si="3"/>
        <v>OK</v>
      </c>
      <c r="G21" s="14">
        <f t="shared" si="4"/>
        <v>0.34097222222222223</v>
      </c>
      <c r="H21" s="8" t="str">
        <f t="shared" si="2"/>
        <v>NO OT</v>
      </c>
    </row>
    <row r="22" spans="1:9" x14ac:dyDescent="0.25">
      <c r="A22" s="6" t="s">
        <v>48</v>
      </c>
      <c r="B22" s="7">
        <v>46043</v>
      </c>
      <c r="C22" s="7" t="str">
        <f t="shared" si="0"/>
        <v>Wednesday</v>
      </c>
      <c r="D22" s="5" t="s">
        <v>24</v>
      </c>
      <c r="E22" s="2" t="s">
        <v>33</v>
      </c>
      <c r="F22" s="6" t="str">
        <f t="shared" si="3"/>
        <v>OK</v>
      </c>
      <c r="G22" s="14">
        <f t="shared" si="4"/>
        <v>0.32222222222222213</v>
      </c>
      <c r="H22" s="8" t="str">
        <f t="shared" si="2"/>
        <v>NO OT</v>
      </c>
    </row>
    <row r="23" spans="1:9" x14ac:dyDescent="0.25">
      <c r="A23" s="6" t="s">
        <v>48</v>
      </c>
      <c r="B23" s="7">
        <v>46044</v>
      </c>
      <c r="C23" s="7" t="str">
        <f t="shared" si="0"/>
        <v>Thursday</v>
      </c>
      <c r="D23" s="5" t="s">
        <v>25</v>
      </c>
      <c r="E23" s="2" t="s">
        <v>43</v>
      </c>
      <c r="F23" s="6" t="str">
        <f t="shared" si="3"/>
        <v>OK</v>
      </c>
      <c r="G23" s="14">
        <f t="shared" si="4"/>
        <v>0.32500000000000001</v>
      </c>
      <c r="H23" s="8" t="str">
        <f t="shared" si="2"/>
        <v>NO OT</v>
      </c>
    </row>
    <row r="24" spans="1:9" x14ac:dyDescent="0.25">
      <c r="A24" s="6" t="s">
        <v>48</v>
      </c>
      <c r="B24" s="7">
        <v>46045</v>
      </c>
      <c r="C24" s="7" t="str">
        <f t="shared" si="0"/>
        <v>Friday</v>
      </c>
      <c r="D24" s="5" t="s">
        <v>26</v>
      </c>
      <c r="E24" s="2" t="s">
        <v>44</v>
      </c>
      <c r="F24" s="6" t="str">
        <f t="shared" si="3"/>
        <v>LATE</v>
      </c>
      <c r="G24" s="14">
        <f t="shared" si="4"/>
        <v>0.35347222222222224</v>
      </c>
      <c r="H24" s="8" t="str">
        <f t="shared" si="2"/>
        <v>00:20</v>
      </c>
      <c r="I24" s="3">
        <v>4</v>
      </c>
    </row>
    <row r="25" spans="1:9" x14ac:dyDescent="0.25">
      <c r="A25" s="6" t="s">
        <v>48</v>
      </c>
      <c r="B25" s="7">
        <v>46046</v>
      </c>
      <c r="C25" s="7" t="str">
        <f t="shared" si="0"/>
        <v>Saturday</v>
      </c>
      <c r="D25" s="5" t="s">
        <v>23</v>
      </c>
      <c r="E25" s="2" t="s">
        <v>45</v>
      </c>
      <c r="F25" s="6" t="str">
        <f t="shared" si="3"/>
        <v>OK</v>
      </c>
      <c r="G25" s="14">
        <f t="shared" si="4"/>
        <v>0.34513888888888888</v>
      </c>
      <c r="H25" s="8" t="str">
        <f t="shared" si="2"/>
        <v>NO OT</v>
      </c>
    </row>
    <row r="26" spans="1:9" x14ac:dyDescent="0.25">
      <c r="A26" s="6" t="s">
        <v>48</v>
      </c>
      <c r="B26" s="7">
        <v>46047</v>
      </c>
      <c r="C26" s="56" t="str">
        <f t="shared" ref="C26" si="7">TEXT(B26, "dddd")</f>
        <v>Sunday</v>
      </c>
      <c r="D26" s="56"/>
      <c r="E26" s="56"/>
      <c r="F26" s="56"/>
      <c r="G26" s="56"/>
      <c r="H26" s="56"/>
    </row>
    <row r="27" spans="1:9" x14ac:dyDescent="0.25">
      <c r="A27" s="6" t="s">
        <v>48</v>
      </c>
      <c r="B27" s="7">
        <v>46048</v>
      </c>
      <c r="C27" s="7" t="str">
        <f t="shared" si="0"/>
        <v>Monday</v>
      </c>
      <c r="D27" s="5" t="s">
        <v>27</v>
      </c>
      <c r="E27" s="2" t="s">
        <v>46</v>
      </c>
      <c r="F27" s="6" t="str">
        <f t="shared" si="3"/>
        <v>LATE</v>
      </c>
      <c r="G27" s="14">
        <f t="shared" si="4"/>
        <v>0.30625000000000002</v>
      </c>
      <c r="H27" s="8" t="str">
        <f t="shared" si="2"/>
        <v>NO OT</v>
      </c>
      <c r="I27" s="3">
        <v>3</v>
      </c>
    </row>
    <row r="28" spans="1:9" x14ac:dyDescent="0.25">
      <c r="A28" s="6" t="s">
        <v>48</v>
      </c>
      <c r="B28" s="7">
        <v>46049</v>
      </c>
      <c r="C28" s="7" t="str">
        <f t="shared" si="0"/>
        <v>Tuesday</v>
      </c>
      <c r="D28" s="5" t="s">
        <v>28</v>
      </c>
      <c r="E28" s="2" t="s">
        <v>42</v>
      </c>
      <c r="F28" s="6" t="str">
        <f t="shared" si="3"/>
        <v>LATE</v>
      </c>
      <c r="G28" s="14">
        <f t="shared" si="4"/>
        <v>0.32708333333333334</v>
      </c>
      <c r="H28" s="8" t="str">
        <f t="shared" si="2"/>
        <v>NO OT</v>
      </c>
      <c r="I28" s="3">
        <v>2</v>
      </c>
    </row>
    <row r="29" spans="1:9" x14ac:dyDescent="0.25">
      <c r="A29" s="6" t="s">
        <v>48</v>
      </c>
      <c r="B29" s="7">
        <v>46050</v>
      </c>
      <c r="C29" s="7" t="str">
        <f t="shared" si="0"/>
        <v>Wednesday</v>
      </c>
      <c r="D29" s="5" t="s">
        <v>15</v>
      </c>
      <c r="E29" s="2" t="s">
        <v>40</v>
      </c>
      <c r="F29" s="6" t="str">
        <f t="shared" si="3"/>
        <v>OK</v>
      </c>
      <c r="G29" s="14">
        <f t="shared" si="4"/>
        <v>0.33194444444444443</v>
      </c>
      <c r="H29" s="8" t="str">
        <f t="shared" si="2"/>
        <v>NO OT</v>
      </c>
    </row>
    <row r="30" spans="1:9" x14ac:dyDescent="0.25">
      <c r="A30" s="6" t="s">
        <v>48</v>
      </c>
      <c r="B30" s="7">
        <v>46051</v>
      </c>
      <c r="C30" s="7" t="str">
        <f t="shared" si="0"/>
        <v>Thursday</v>
      </c>
      <c r="D30" s="5" t="s">
        <v>29</v>
      </c>
      <c r="E30" s="2" t="s">
        <v>47</v>
      </c>
      <c r="F30" s="6" t="str">
        <f t="shared" si="3"/>
        <v>OK</v>
      </c>
      <c r="G30" s="14">
        <f t="shared" si="4"/>
        <v>0.33472222222222225</v>
      </c>
      <c r="H30" s="8" t="str">
        <f t="shared" si="2"/>
        <v>NO OT</v>
      </c>
    </row>
    <row r="31" spans="1:9" x14ac:dyDescent="0.25">
      <c r="A31" s="6" t="s">
        <v>48</v>
      </c>
      <c r="B31" s="7">
        <v>46052</v>
      </c>
      <c r="C31" s="7" t="str">
        <f t="shared" si="0"/>
        <v>Friday</v>
      </c>
      <c r="D31" s="5" t="s">
        <v>30</v>
      </c>
      <c r="E31" s="2" t="s">
        <v>47</v>
      </c>
      <c r="F31" s="6" t="str">
        <f t="shared" si="3"/>
        <v>OK</v>
      </c>
      <c r="G31" s="14">
        <f t="shared" si="4"/>
        <v>0.3263888888888889</v>
      </c>
      <c r="H31" s="8" t="str">
        <f t="shared" si="2"/>
        <v>NO OT</v>
      </c>
    </row>
    <row r="32" spans="1:9" x14ac:dyDescent="0.25">
      <c r="A32" s="6" t="s">
        <v>48</v>
      </c>
      <c r="B32" s="7">
        <v>46053</v>
      </c>
      <c r="C32" s="7" t="str">
        <f t="shared" si="0"/>
        <v>Saturday</v>
      </c>
      <c r="D32" s="5" t="s">
        <v>17</v>
      </c>
      <c r="E32" s="2" t="s">
        <v>34</v>
      </c>
      <c r="F32" s="6" t="str">
        <f t="shared" si="3"/>
        <v>OK</v>
      </c>
      <c r="G32" s="14">
        <f t="shared" si="4"/>
        <v>0.32083333333333336</v>
      </c>
      <c r="H32" s="8" t="str">
        <f t="shared" si="2"/>
        <v>NO OT</v>
      </c>
    </row>
    <row r="33" spans="1:9" x14ac:dyDescent="0.25">
      <c r="A33" s="9" t="s">
        <v>49</v>
      </c>
      <c r="B33" s="7">
        <v>46023</v>
      </c>
      <c r="C33" s="7" t="str">
        <f t="shared" si="0"/>
        <v>Thursday</v>
      </c>
      <c r="D33" s="10" t="s">
        <v>25</v>
      </c>
      <c r="E33" s="10" t="s">
        <v>68</v>
      </c>
      <c r="F33" s="6" t="str">
        <f t="shared" si="3"/>
        <v>OK</v>
      </c>
      <c r="G33" s="14">
        <f t="shared" si="4"/>
        <v>0.3</v>
      </c>
      <c r="H33" s="8" t="str">
        <f t="shared" si="2"/>
        <v>NO OT</v>
      </c>
    </row>
    <row r="34" spans="1:9" x14ac:dyDescent="0.25">
      <c r="A34" s="9" t="s">
        <v>49</v>
      </c>
      <c r="B34" s="7">
        <v>46024</v>
      </c>
      <c r="C34" s="7" t="str">
        <f t="shared" si="0"/>
        <v>Friday</v>
      </c>
      <c r="D34" s="10" t="s">
        <v>52</v>
      </c>
      <c r="E34" s="10" t="s">
        <v>36</v>
      </c>
      <c r="F34" s="6" t="str">
        <f t="shared" si="3"/>
        <v>OK</v>
      </c>
      <c r="G34" s="14">
        <f t="shared" si="4"/>
        <v>0.33611111111111114</v>
      </c>
      <c r="H34" s="8" t="str">
        <f t="shared" si="2"/>
        <v>NO OT</v>
      </c>
    </row>
    <row r="35" spans="1:9" x14ac:dyDescent="0.25">
      <c r="A35" s="9" t="s">
        <v>49</v>
      </c>
      <c r="B35" s="7">
        <v>46025</v>
      </c>
      <c r="C35" s="7" t="str">
        <f t="shared" si="0"/>
        <v>Saturday</v>
      </c>
      <c r="D35" s="10" t="s">
        <v>67</v>
      </c>
      <c r="E35" s="10" t="s">
        <v>40</v>
      </c>
      <c r="F35" s="6" t="str">
        <f t="shared" si="3"/>
        <v>OK</v>
      </c>
      <c r="G35" s="14">
        <f t="shared" si="4"/>
        <v>0.33819444444444446</v>
      </c>
      <c r="H35" s="8" t="str">
        <f t="shared" si="2"/>
        <v>NO OT</v>
      </c>
    </row>
    <row r="36" spans="1:9" x14ac:dyDescent="0.25">
      <c r="A36" s="9" t="s">
        <v>49</v>
      </c>
      <c r="B36" s="7">
        <v>46026</v>
      </c>
      <c r="C36" s="56" t="str">
        <f t="shared" si="0"/>
        <v>Sunday</v>
      </c>
      <c r="D36" s="56"/>
      <c r="E36" s="56"/>
      <c r="F36" s="56"/>
      <c r="G36" s="56"/>
      <c r="H36" s="56"/>
    </row>
    <row r="37" spans="1:9" x14ac:dyDescent="0.25">
      <c r="A37" s="9" t="s">
        <v>49</v>
      </c>
      <c r="B37" s="7">
        <v>46027</v>
      </c>
      <c r="C37" s="7" t="str">
        <f t="shared" si="0"/>
        <v>Monday</v>
      </c>
      <c r="D37" s="10" t="s">
        <v>17</v>
      </c>
      <c r="E37" s="10" t="s">
        <v>66</v>
      </c>
      <c r="F37" s="6" t="str">
        <f t="shared" si="3"/>
        <v>OK</v>
      </c>
      <c r="G37" s="14">
        <f t="shared" si="4"/>
        <v>0.31944444444444436</v>
      </c>
      <c r="H37" s="8" t="str">
        <f t="shared" si="2"/>
        <v>NO OT</v>
      </c>
    </row>
    <row r="38" spans="1:9" x14ac:dyDescent="0.25">
      <c r="A38" s="9" t="s">
        <v>49</v>
      </c>
      <c r="B38" s="7">
        <v>46028</v>
      </c>
      <c r="C38" s="7" t="str">
        <f t="shared" si="0"/>
        <v>Tuesday</v>
      </c>
      <c r="D38" s="10" t="s">
        <v>51</v>
      </c>
      <c r="E38" s="10" t="s">
        <v>65</v>
      </c>
      <c r="F38" s="6" t="str">
        <f t="shared" si="3"/>
        <v>OK</v>
      </c>
      <c r="G38" s="14">
        <f t="shared" si="4"/>
        <v>0.34791666666666665</v>
      </c>
      <c r="H38" s="8" t="str">
        <f t="shared" si="2"/>
        <v>NO OT</v>
      </c>
    </row>
    <row r="39" spans="1:9" x14ac:dyDescent="0.25">
      <c r="A39" s="9" t="s">
        <v>49</v>
      </c>
      <c r="B39" s="7">
        <v>46029</v>
      </c>
      <c r="C39" s="7" t="str">
        <f t="shared" si="0"/>
        <v>Wednesday</v>
      </c>
      <c r="D39" s="10" t="s">
        <v>16</v>
      </c>
      <c r="E39" s="10" t="s">
        <v>57</v>
      </c>
      <c r="F39" s="6" t="str">
        <f t="shared" si="3"/>
        <v>OK</v>
      </c>
      <c r="G39" s="14">
        <f t="shared" si="4"/>
        <v>0.33819444444444446</v>
      </c>
      <c r="H39" s="8" t="str">
        <f t="shared" si="2"/>
        <v>NO OT</v>
      </c>
    </row>
    <row r="40" spans="1:9" x14ac:dyDescent="0.25">
      <c r="A40" s="9" t="s">
        <v>49</v>
      </c>
      <c r="B40" s="7">
        <v>46030</v>
      </c>
      <c r="C40" s="7" t="str">
        <f t="shared" si="0"/>
        <v>Thursday</v>
      </c>
      <c r="D40" s="10" t="s">
        <v>64</v>
      </c>
      <c r="E40" s="10" t="s">
        <v>39</v>
      </c>
      <c r="F40" s="6" t="str">
        <f t="shared" si="3"/>
        <v>LATE</v>
      </c>
      <c r="G40" s="14">
        <f t="shared" si="4"/>
        <v>0.25763888888888892</v>
      </c>
      <c r="H40" s="8" t="str">
        <f t="shared" si="2"/>
        <v>NO OT</v>
      </c>
    </row>
    <row r="41" spans="1:9" x14ac:dyDescent="0.25">
      <c r="A41" s="9" t="s">
        <v>49</v>
      </c>
      <c r="B41" s="7">
        <v>46031</v>
      </c>
      <c r="C41" s="7" t="str">
        <f t="shared" si="0"/>
        <v>Friday</v>
      </c>
      <c r="D41" s="10" t="s">
        <v>19</v>
      </c>
      <c r="E41" s="10" t="s">
        <v>62</v>
      </c>
      <c r="F41" s="6" t="str">
        <f t="shared" si="3"/>
        <v>OK</v>
      </c>
      <c r="G41" s="14">
        <f t="shared" si="4"/>
        <v>0.33750000000000002</v>
      </c>
      <c r="H41" s="8" t="str">
        <f t="shared" si="2"/>
        <v>NO OT</v>
      </c>
    </row>
    <row r="42" spans="1:9" x14ac:dyDescent="0.25">
      <c r="A42" s="9" t="s">
        <v>49</v>
      </c>
      <c r="B42" s="7">
        <v>46032</v>
      </c>
      <c r="C42" s="7" t="str">
        <f t="shared" si="0"/>
        <v>Saturday</v>
      </c>
      <c r="D42" s="10" t="s">
        <v>12</v>
      </c>
      <c r="E42" s="10" t="s">
        <v>12</v>
      </c>
      <c r="F42" s="57" t="str">
        <f t="shared" ref="F42" si="8">IF(C42="Sunday", "SUNDAY", IF(OR(D42=0, D42="", D42="0:0"), "ABSENT", IF(MOD(D42,1) &gt; TIME(9,45,0), "LATE", "OK")))</f>
        <v>ABSENT</v>
      </c>
      <c r="G42" s="57"/>
      <c r="H42" s="57"/>
      <c r="I42" s="3">
        <v>1</v>
      </c>
    </row>
    <row r="43" spans="1:9" x14ac:dyDescent="0.25">
      <c r="A43" s="9" t="s">
        <v>49</v>
      </c>
      <c r="B43" s="7">
        <v>46033</v>
      </c>
      <c r="C43" s="56" t="str">
        <f t="shared" si="0"/>
        <v>Sunday</v>
      </c>
      <c r="D43" s="56"/>
      <c r="E43" s="56"/>
      <c r="F43" s="56"/>
      <c r="G43" s="56"/>
      <c r="H43" s="56"/>
    </row>
    <row r="44" spans="1:9" x14ac:dyDescent="0.25">
      <c r="A44" s="9" t="s">
        <v>49</v>
      </c>
      <c r="B44" s="7">
        <v>46034</v>
      </c>
      <c r="C44" s="7" t="str">
        <f t="shared" si="0"/>
        <v>Monday</v>
      </c>
      <c r="D44" s="10" t="s">
        <v>18</v>
      </c>
      <c r="E44" s="10" t="s">
        <v>47</v>
      </c>
      <c r="F44" s="6" t="str">
        <f t="shared" si="3"/>
        <v>OK</v>
      </c>
      <c r="G44" s="14">
        <f t="shared" si="4"/>
        <v>0.34305555555555556</v>
      </c>
      <c r="H44" s="8" t="str">
        <f t="shared" si="2"/>
        <v>NO OT</v>
      </c>
    </row>
    <row r="45" spans="1:9" x14ac:dyDescent="0.25">
      <c r="A45" s="9" t="s">
        <v>49</v>
      </c>
      <c r="B45" s="7">
        <v>46035</v>
      </c>
      <c r="C45" s="7" t="str">
        <f t="shared" si="0"/>
        <v>Tuesday</v>
      </c>
      <c r="D45" s="10" t="s">
        <v>63</v>
      </c>
      <c r="E45" s="10" t="s">
        <v>39</v>
      </c>
      <c r="F45" s="6" t="str">
        <f t="shared" si="3"/>
        <v>OK</v>
      </c>
      <c r="G45" s="14">
        <f t="shared" si="4"/>
        <v>0.32847222222222228</v>
      </c>
      <c r="H45" s="8" t="str">
        <f t="shared" si="2"/>
        <v>NO OT</v>
      </c>
    </row>
    <row r="46" spans="1:9" x14ac:dyDescent="0.25">
      <c r="A46" s="9" t="s">
        <v>49</v>
      </c>
      <c r="B46" s="7">
        <v>46036</v>
      </c>
      <c r="C46" s="7" t="str">
        <f t="shared" si="0"/>
        <v>Wednesday</v>
      </c>
      <c r="D46" s="10" t="s">
        <v>12</v>
      </c>
      <c r="E46" s="10" t="s">
        <v>12</v>
      </c>
      <c r="F46" s="57" t="s">
        <v>160</v>
      </c>
      <c r="G46" s="57"/>
      <c r="H46" s="57"/>
    </row>
    <row r="47" spans="1:9" x14ac:dyDescent="0.25">
      <c r="A47" s="9" t="s">
        <v>49</v>
      </c>
      <c r="B47" s="7">
        <v>46037</v>
      </c>
      <c r="C47" s="7" t="str">
        <f t="shared" si="0"/>
        <v>Thursday</v>
      </c>
      <c r="D47" s="10" t="s">
        <v>50</v>
      </c>
      <c r="E47" s="10" t="s">
        <v>62</v>
      </c>
      <c r="F47" s="6" t="str">
        <f t="shared" si="3"/>
        <v>OK</v>
      </c>
      <c r="G47" s="14">
        <f t="shared" si="4"/>
        <v>0.33958333333333335</v>
      </c>
      <c r="H47" s="8" t="str">
        <f t="shared" si="2"/>
        <v>NO OT</v>
      </c>
    </row>
    <row r="48" spans="1:9" x14ac:dyDescent="0.25">
      <c r="A48" s="9" t="s">
        <v>49</v>
      </c>
      <c r="B48" s="7">
        <v>46038</v>
      </c>
      <c r="C48" s="7" t="str">
        <f t="shared" si="0"/>
        <v>Friday</v>
      </c>
      <c r="D48" s="10" t="s">
        <v>61</v>
      </c>
      <c r="E48" s="10" t="s">
        <v>60</v>
      </c>
      <c r="F48" s="6" t="str">
        <f t="shared" si="3"/>
        <v>OK</v>
      </c>
      <c r="G48" s="14">
        <f t="shared" si="4"/>
        <v>0.33124999999999999</v>
      </c>
      <c r="H48" s="8" t="str">
        <f t="shared" si="2"/>
        <v>NO OT</v>
      </c>
    </row>
    <row r="49" spans="1:9" x14ac:dyDescent="0.25">
      <c r="A49" s="9" t="s">
        <v>49</v>
      </c>
      <c r="B49" s="7">
        <v>46039</v>
      </c>
      <c r="C49" s="7" t="str">
        <f t="shared" si="0"/>
        <v>Saturday</v>
      </c>
      <c r="D49" s="10" t="s">
        <v>18</v>
      </c>
      <c r="E49" s="10" t="s">
        <v>59</v>
      </c>
      <c r="F49" s="6" t="str">
        <f t="shared" si="3"/>
        <v>OK</v>
      </c>
      <c r="G49" s="14">
        <f t="shared" si="4"/>
        <v>0.32708333333333328</v>
      </c>
      <c r="H49" s="8" t="str">
        <f t="shared" si="2"/>
        <v>NO OT</v>
      </c>
    </row>
    <row r="50" spans="1:9" x14ac:dyDescent="0.25">
      <c r="A50" s="9" t="s">
        <v>49</v>
      </c>
      <c r="B50" s="7">
        <v>46040</v>
      </c>
      <c r="C50" s="56" t="str">
        <f t="shared" si="0"/>
        <v>Sunday</v>
      </c>
      <c r="D50" s="56"/>
      <c r="E50" s="56"/>
      <c r="F50" s="56"/>
      <c r="G50" s="56"/>
      <c r="H50" s="56"/>
    </row>
    <row r="51" spans="1:9" x14ac:dyDescent="0.25">
      <c r="A51" s="9" t="s">
        <v>49</v>
      </c>
      <c r="B51" s="7">
        <v>46041</v>
      </c>
      <c r="C51" s="7" t="str">
        <f t="shared" si="0"/>
        <v>Monday</v>
      </c>
      <c r="D51" s="10" t="s">
        <v>24</v>
      </c>
      <c r="E51" s="10" t="s">
        <v>58</v>
      </c>
      <c r="F51" s="6" t="str">
        <f t="shared" si="3"/>
        <v>OK</v>
      </c>
      <c r="G51" s="14">
        <f t="shared" si="4"/>
        <v>0.34166666666666662</v>
      </c>
      <c r="H51" s="8" t="str">
        <f t="shared" si="2"/>
        <v>NO OT</v>
      </c>
    </row>
    <row r="52" spans="1:9" x14ac:dyDescent="0.25">
      <c r="A52" s="9" t="s">
        <v>49</v>
      </c>
      <c r="B52" s="7">
        <v>46042</v>
      </c>
      <c r="C52" s="7" t="str">
        <f t="shared" si="0"/>
        <v>Tuesday</v>
      </c>
      <c r="D52" s="10" t="s">
        <v>56</v>
      </c>
      <c r="E52" s="10" t="s">
        <v>57</v>
      </c>
      <c r="F52" s="6" t="str">
        <f t="shared" si="3"/>
        <v>OK</v>
      </c>
      <c r="G52" s="14">
        <f t="shared" si="4"/>
        <v>0.3354166666666667</v>
      </c>
      <c r="H52" s="8" t="str">
        <f t="shared" si="2"/>
        <v>NO OT</v>
      </c>
    </row>
    <row r="53" spans="1:9" x14ac:dyDescent="0.25">
      <c r="A53" s="9" t="s">
        <v>49</v>
      </c>
      <c r="B53" s="7">
        <v>46043</v>
      </c>
      <c r="C53" s="7" t="str">
        <f t="shared" si="0"/>
        <v>Wednesday</v>
      </c>
      <c r="D53" s="10" t="s">
        <v>56</v>
      </c>
      <c r="E53" s="10" t="s">
        <v>33</v>
      </c>
      <c r="F53" s="6" t="str">
        <f t="shared" si="3"/>
        <v>OK</v>
      </c>
      <c r="G53" s="14">
        <f t="shared" si="4"/>
        <v>0.33263888888888882</v>
      </c>
      <c r="H53" s="8" t="str">
        <f t="shared" si="2"/>
        <v>NO OT</v>
      </c>
    </row>
    <row r="54" spans="1:9" x14ac:dyDescent="0.25">
      <c r="A54" s="9" t="s">
        <v>49</v>
      </c>
      <c r="B54" s="7">
        <v>46044</v>
      </c>
      <c r="C54" s="7" t="str">
        <f t="shared" si="0"/>
        <v>Thursday</v>
      </c>
      <c r="D54" s="10" t="s">
        <v>18</v>
      </c>
      <c r="E54" s="10" t="s">
        <v>55</v>
      </c>
      <c r="F54" s="6" t="str">
        <f t="shared" si="3"/>
        <v>OK</v>
      </c>
      <c r="G54" s="14">
        <f t="shared" si="4"/>
        <v>0.33263888888888882</v>
      </c>
      <c r="H54" s="8" t="str">
        <f t="shared" si="2"/>
        <v>NO OT</v>
      </c>
    </row>
    <row r="55" spans="1:9" x14ac:dyDescent="0.25">
      <c r="A55" s="9" t="s">
        <v>49</v>
      </c>
      <c r="B55" s="7">
        <v>46045</v>
      </c>
      <c r="C55" s="7" t="str">
        <f t="shared" si="0"/>
        <v>Friday</v>
      </c>
      <c r="D55" s="10" t="s">
        <v>54</v>
      </c>
      <c r="E55" s="10" t="s">
        <v>34</v>
      </c>
      <c r="F55" s="6" t="str">
        <f t="shared" si="3"/>
        <v>LATE</v>
      </c>
      <c r="G55" s="14">
        <f t="shared" si="4"/>
        <v>0.30763888888888891</v>
      </c>
      <c r="H55" s="8" t="str">
        <f t="shared" si="2"/>
        <v>NO OT</v>
      </c>
    </row>
    <row r="56" spans="1:9" x14ac:dyDescent="0.25">
      <c r="A56" s="9" t="s">
        <v>49</v>
      </c>
      <c r="B56" s="7">
        <v>46046</v>
      </c>
      <c r="C56" s="7" t="str">
        <f t="shared" si="0"/>
        <v>Saturday</v>
      </c>
      <c r="D56" s="10" t="s">
        <v>12</v>
      </c>
      <c r="E56" s="10" t="s">
        <v>12</v>
      </c>
      <c r="F56" s="57" t="str">
        <f t="shared" ref="F56" si="9">IF(C56="Sunday", "SUNDAY", IF(OR(D56=0, D56="", D56="0:0"), "ABSENT", IF(MOD(D56,1) &gt; TIME(9,45,0), "LATE", "OK")))</f>
        <v>ABSENT</v>
      </c>
      <c r="G56" s="57"/>
      <c r="H56" s="57"/>
      <c r="I56" s="3">
        <v>2</v>
      </c>
    </row>
    <row r="57" spans="1:9" x14ac:dyDescent="0.25">
      <c r="A57" s="9" t="s">
        <v>49</v>
      </c>
      <c r="B57" s="7">
        <v>46047</v>
      </c>
      <c r="C57" s="56" t="str">
        <f t="shared" si="0"/>
        <v>Sunday</v>
      </c>
      <c r="D57" s="56"/>
      <c r="E57" s="56"/>
      <c r="F57" s="56"/>
      <c r="G57" s="56"/>
      <c r="H57" s="56"/>
    </row>
    <row r="58" spans="1:9" x14ac:dyDescent="0.25">
      <c r="A58" s="9" t="s">
        <v>49</v>
      </c>
      <c r="B58" s="7">
        <v>46048</v>
      </c>
      <c r="C58" s="7" t="str">
        <f t="shared" si="0"/>
        <v>Monday</v>
      </c>
      <c r="D58" s="10" t="s">
        <v>23</v>
      </c>
      <c r="E58" s="10" t="s">
        <v>42</v>
      </c>
      <c r="F58" s="6" t="str">
        <f t="shared" si="3"/>
        <v>OK</v>
      </c>
      <c r="G58" s="14">
        <f t="shared" si="4"/>
        <v>0.34097222222222223</v>
      </c>
      <c r="H58" s="8" t="str">
        <f t="shared" si="2"/>
        <v>NO OT</v>
      </c>
    </row>
    <row r="59" spans="1:9" x14ac:dyDescent="0.25">
      <c r="A59" s="9" t="s">
        <v>49</v>
      </c>
      <c r="B59" s="7">
        <v>46049</v>
      </c>
      <c r="C59" s="7" t="str">
        <f t="shared" si="0"/>
        <v>Tuesday</v>
      </c>
      <c r="D59" s="10" t="s">
        <v>16</v>
      </c>
      <c r="E59" s="10" t="s">
        <v>53</v>
      </c>
      <c r="F59" s="6" t="str">
        <f t="shared" si="3"/>
        <v>OK</v>
      </c>
      <c r="G59" s="14">
        <f t="shared" si="4"/>
        <v>0.35</v>
      </c>
      <c r="H59" s="8" t="str">
        <f t="shared" si="2"/>
        <v>NO OT</v>
      </c>
    </row>
    <row r="60" spans="1:9" x14ac:dyDescent="0.25">
      <c r="A60" s="9" t="s">
        <v>49</v>
      </c>
      <c r="B60" s="7">
        <v>46050</v>
      </c>
      <c r="C60" s="7" t="str">
        <f t="shared" si="0"/>
        <v>Wednesday</v>
      </c>
      <c r="D60" s="10" t="s">
        <v>52</v>
      </c>
      <c r="E60" s="10" t="s">
        <v>36</v>
      </c>
      <c r="F60" s="6" t="str">
        <f t="shared" si="3"/>
        <v>OK</v>
      </c>
      <c r="G60" s="14">
        <f t="shared" si="4"/>
        <v>0.33611111111111114</v>
      </c>
      <c r="H60" s="8" t="str">
        <f t="shared" si="2"/>
        <v>NO OT</v>
      </c>
    </row>
    <row r="61" spans="1:9" x14ac:dyDescent="0.25">
      <c r="A61" s="9" t="s">
        <v>49</v>
      </c>
      <c r="B61" s="7">
        <v>46051</v>
      </c>
      <c r="C61" s="7" t="str">
        <f t="shared" si="0"/>
        <v>Thursday</v>
      </c>
      <c r="D61" s="10" t="s">
        <v>51</v>
      </c>
      <c r="E61" s="10" t="s">
        <v>40</v>
      </c>
      <c r="F61" s="6" t="str">
        <f t="shared" si="3"/>
        <v>OK</v>
      </c>
      <c r="G61" s="14">
        <f t="shared" si="4"/>
        <v>0.34166666666666667</v>
      </c>
      <c r="H61" s="8" t="str">
        <f t="shared" si="2"/>
        <v>NO OT</v>
      </c>
    </row>
    <row r="62" spans="1:9" x14ac:dyDescent="0.25">
      <c r="A62" s="9" t="s">
        <v>49</v>
      </c>
      <c r="B62" s="7">
        <v>46052</v>
      </c>
      <c r="C62" s="7" t="str">
        <f t="shared" si="0"/>
        <v>Friday</v>
      </c>
      <c r="D62" s="10" t="s">
        <v>23</v>
      </c>
      <c r="E62" s="10" t="s">
        <v>33</v>
      </c>
      <c r="F62" s="6" t="str">
        <f t="shared" si="3"/>
        <v>OK</v>
      </c>
      <c r="G62" s="14">
        <f t="shared" si="4"/>
        <v>0.32916666666666661</v>
      </c>
      <c r="H62" s="8" t="str">
        <f t="shared" si="2"/>
        <v>NO OT</v>
      </c>
    </row>
    <row r="63" spans="1:9" x14ac:dyDescent="0.25">
      <c r="A63" s="9" t="s">
        <v>49</v>
      </c>
      <c r="B63" s="7">
        <v>46053</v>
      </c>
      <c r="C63" s="7" t="str">
        <f t="shared" si="0"/>
        <v>Saturday</v>
      </c>
      <c r="D63" s="10" t="s">
        <v>50</v>
      </c>
      <c r="E63" s="10" t="s">
        <v>39</v>
      </c>
      <c r="F63" s="6" t="str">
        <f t="shared" si="3"/>
        <v>OK</v>
      </c>
      <c r="G63" s="14">
        <f t="shared" si="4"/>
        <v>0.33125000000000004</v>
      </c>
      <c r="H63" s="8" t="str">
        <f t="shared" si="2"/>
        <v>NO OT</v>
      </c>
    </row>
    <row r="64" spans="1:9" x14ac:dyDescent="0.25">
      <c r="A64" s="3" t="s">
        <v>69</v>
      </c>
      <c r="B64" s="7">
        <v>46023</v>
      </c>
      <c r="C64" s="7" t="str">
        <f t="shared" si="0"/>
        <v>Thursday</v>
      </c>
      <c r="D64" s="9" t="s">
        <v>72</v>
      </c>
      <c r="E64" s="9" t="s">
        <v>73</v>
      </c>
      <c r="F64" s="6" t="str">
        <f t="shared" si="3"/>
        <v>LATE</v>
      </c>
      <c r="G64" s="14">
        <f t="shared" si="4"/>
        <v>0.26458333333333334</v>
      </c>
      <c r="H64" s="8" t="str">
        <f t="shared" si="2"/>
        <v>00:27</v>
      </c>
      <c r="I64" s="3" t="s">
        <v>159</v>
      </c>
    </row>
    <row r="65" spans="1:9" x14ac:dyDescent="0.25">
      <c r="A65" s="3" t="s">
        <v>69</v>
      </c>
      <c r="B65" s="7">
        <v>46024</v>
      </c>
      <c r="C65" s="7" t="str">
        <f t="shared" si="0"/>
        <v>Friday</v>
      </c>
      <c r="D65" s="9" t="s">
        <v>74</v>
      </c>
      <c r="E65" s="9" t="s">
        <v>75</v>
      </c>
      <c r="F65" s="6" t="str">
        <f t="shared" si="3"/>
        <v>OK</v>
      </c>
      <c r="G65" s="14">
        <f t="shared" si="4"/>
        <v>0.3215277777777778</v>
      </c>
      <c r="H65" s="8" t="str">
        <f t="shared" si="2"/>
        <v>NO OT</v>
      </c>
    </row>
    <row r="66" spans="1:9" x14ac:dyDescent="0.25">
      <c r="A66" s="3" t="s">
        <v>69</v>
      </c>
      <c r="B66" s="7">
        <v>46025</v>
      </c>
      <c r="C66" s="7" t="str">
        <f t="shared" si="0"/>
        <v>Saturday</v>
      </c>
      <c r="D66" s="9" t="s">
        <v>76</v>
      </c>
      <c r="E66" s="9" t="s">
        <v>36</v>
      </c>
      <c r="F66" s="6" t="str">
        <f t="shared" si="3"/>
        <v>OK</v>
      </c>
      <c r="G66" s="14">
        <f t="shared" si="4"/>
        <v>0.33750000000000002</v>
      </c>
      <c r="H66" s="8" t="str">
        <f t="shared" si="2"/>
        <v>NO OT</v>
      </c>
    </row>
    <row r="67" spans="1:9" x14ac:dyDescent="0.25">
      <c r="A67" s="3" t="s">
        <v>69</v>
      </c>
      <c r="B67" s="7">
        <v>46026</v>
      </c>
      <c r="C67" s="56" t="str">
        <f t="shared" ref="C67" si="10">TEXT(B67, "dddd")</f>
        <v>Sunday</v>
      </c>
      <c r="D67" s="56"/>
      <c r="E67" s="56"/>
      <c r="F67" s="56"/>
      <c r="G67" s="56"/>
      <c r="H67" s="56"/>
    </row>
    <row r="68" spans="1:9" x14ac:dyDescent="0.25">
      <c r="A68" s="3" t="s">
        <v>69</v>
      </c>
      <c r="B68" s="7">
        <v>46027</v>
      </c>
      <c r="C68" s="7" t="str">
        <f t="shared" ref="C68:C130" si="11">TEXT(B68, "dddd")</f>
        <v>Monday</v>
      </c>
      <c r="D68" s="9" t="s">
        <v>21</v>
      </c>
      <c r="E68" s="9" t="s">
        <v>77</v>
      </c>
      <c r="F68" s="6" t="str">
        <f t="shared" si="3"/>
        <v>OK</v>
      </c>
      <c r="G68" s="14">
        <f t="shared" si="4"/>
        <v>0.31944444444444436</v>
      </c>
      <c r="H68" s="8" t="str">
        <f t="shared" ref="H68:H130" si="12">IF(VALUE(E68) &gt; TIME(19,0,0), TEXT(VALUE(E68) - TIME(19,0,0), "hh:mm"), "NO OT")</f>
        <v>NO OT</v>
      </c>
    </row>
    <row r="69" spans="1:9" x14ac:dyDescent="0.25">
      <c r="A69" s="3" t="s">
        <v>69</v>
      </c>
      <c r="B69" s="7">
        <v>46028</v>
      </c>
      <c r="C69" s="7" t="str">
        <f t="shared" si="11"/>
        <v>Tuesday</v>
      </c>
      <c r="D69" s="9" t="s">
        <v>67</v>
      </c>
      <c r="E69" s="9" t="s">
        <v>39</v>
      </c>
      <c r="F69" s="6" t="str">
        <f t="shared" si="3"/>
        <v>OK</v>
      </c>
      <c r="G69" s="14">
        <f t="shared" ref="G69:G132" si="13">IF(OR(D69=0, D69="", E69=0, E69=""), 0, (E69-D69)-TIME(1,0,0))</f>
        <v>0.33263888888888893</v>
      </c>
      <c r="H69" s="8" t="str">
        <f t="shared" si="12"/>
        <v>NO OT</v>
      </c>
    </row>
    <row r="70" spans="1:9" x14ac:dyDescent="0.25">
      <c r="A70" s="3" t="s">
        <v>69</v>
      </c>
      <c r="B70" s="7">
        <v>46029</v>
      </c>
      <c r="C70" s="7" t="str">
        <f t="shared" si="11"/>
        <v>Wednesday</v>
      </c>
      <c r="D70" s="9" t="s">
        <v>29</v>
      </c>
      <c r="E70" s="9" t="s">
        <v>78</v>
      </c>
      <c r="F70" s="6" t="str">
        <f t="shared" ref="F70:F133" si="14">IF(C70="Sunday", "SUNDAY", IF(OR(D70=0, D70="", D70="0:0"), "ABSENT", IF(MOD(D70,1) &gt; TIME(9,45,0), "LATE", "OK")))</f>
        <v>OK</v>
      </c>
      <c r="G70" s="14">
        <f t="shared" si="13"/>
        <v>0.34930555555555554</v>
      </c>
      <c r="H70" s="8" t="str">
        <f t="shared" si="12"/>
        <v>NO OT</v>
      </c>
    </row>
    <row r="71" spans="1:9" x14ac:dyDescent="0.25">
      <c r="A71" s="3" t="s">
        <v>69</v>
      </c>
      <c r="B71" s="7">
        <v>46030</v>
      </c>
      <c r="C71" s="7" t="str">
        <f t="shared" si="11"/>
        <v>Thursday</v>
      </c>
      <c r="D71" s="9" t="s">
        <v>79</v>
      </c>
      <c r="E71" s="9" t="s">
        <v>80</v>
      </c>
      <c r="F71" s="6" t="str">
        <f t="shared" si="14"/>
        <v>OK</v>
      </c>
      <c r="G71" s="14">
        <f t="shared" si="13"/>
        <v>0.26666666666666661</v>
      </c>
      <c r="H71" s="8" t="str">
        <f t="shared" si="12"/>
        <v>NO OT</v>
      </c>
      <c r="I71" s="3" t="s">
        <v>159</v>
      </c>
    </row>
    <row r="72" spans="1:9" x14ac:dyDescent="0.25">
      <c r="A72" s="3" t="s">
        <v>69</v>
      </c>
      <c r="B72" s="7">
        <v>46031</v>
      </c>
      <c r="C72" s="7" t="str">
        <f t="shared" si="11"/>
        <v>Friday</v>
      </c>
      <c r="D72" s="9" t="s">
        <v>81</v>
      </c>
      <c r="E72" s="9" t="s">
        <v>32</v>
      </c>
      <c r="F72" s="6" t="str">
        <f t="shared" si="14"/>
        <v>OK</v>
      </c>
      <c r="G72" s="14">
        <f t="shared" si="13"/>
        <v>0.32847222222222222</v>
      </c>
      <c r="H72" s="8" t="str">
        <f t="shared" si="12"/>
        <v>NO OT</v>
      </c>
    </row>
    <row r="73" spans="1:9" x14ac:dyDescent="0.25">
      <c r="A73" s="3" t="s">
        <v>69</v>
      </c>
      <c r="B73" s="7">
        <v>46032</v>
      </c>
      <c r="C73" s="7" t="str">
        <f t="shared" si="11"/>
        <v>Saturday</v>
      </c>
      <c r="D73" s="9" t="s">
        <v>11</v>
      </c>
      <c r="E73" s="9" t="s">
        <v>34</v>
      </c>
      <c r="F73" s="6" t="str">
        <f t="shared" si="14"/>
        <v>OK</v>
      </c>
      <c r="G73" s="14">
        <f t="shared" si="13"/>
        <v>0.32708333333333339</v>
      </c>
      <c r="H73" s="8" t="str">
        <f t="shared" si="12"/>
        <v>NO OT</v>
      </c>
    </row>
    <row r="74" spans="1:9" x14ac:dyDescent="0.25">
      <c r="A74" s="3" t="s">
        <v>69</v>
      </c>
      <c r="B74" s="7">
        <v>46033</v>
      </c>
      <c r="C74" s="56" t="str">
        <f t="shared" si="11"/>
        <v>Sunday</v>
      </c>
      <c r="D74" s="56"/>
      <c r="E74" s="56"/>
      <c r="F74" s="56"/>
      <c r="G74" s="56"/>
      <c r="H74" s="56"/>
    </row>
    <row r="75" spans="1:9" x14ac:dyDescent="0.25">
      <c r="A75" s="3" t="s">
        <v>69</v>
      </c>
      <c r="B75" s="7">
        <v>46034</v>
      </c>
      <c r="C75" s="7" t="str">
        <f t="shared" si="11"/>
        <v>Monday</v>
      </c>
      <c r="D75" s="9" t="s">
        <v>11</v>
      </c>
      <c r="E75" s="9" t="s">
        <v>82</v>
      </c>
      <c r="F75" s="6" t="str">
        <f t="shared" si="14"/>
        <v>OK</v>
      </c>
      <c r="G75" s="14">
        <f t="shared" si="13"/>
        <v>0.35763888888888884</v>
      </c>
      <c r="H75" s="8" t="str">
        <f t="shared" si="12"/>
        <v>00:07</v>
      </c>
    </row>
    <row r="76" spans="1:9" x14ac:dyDescent="0.25">
      <c r="A76" s="3" t="s">
        <v>69</v>
      </c>
      <c r="B76" s="7">
        <v>46035</v>
      </c>
      <c r="C76" s="7" t="str">
        <f t="shared" si="11"/>
        <v>Tuesday</v>
      </c>
      <c r="D76" s="9" t="s">
        <v>17</v>
      </c>
      <c r="E76" s="9" t="s">
        <v>38</v>
      </c>
      <c r="F76" s="6" t="str">
        <f t="shared" si="14"/>
        <v>OK</v>
      </c>
      <c r="G76" s="14">
        <f t="shared" si="13"/>
        <v>0.33263888888888887</v>
      </c>
      <c r="H76" s="8" t="str">
        <f t="shared" si="12"/>
        <v>NO OT</v>
      </c>
    </row>
    <row r="77" spans="1:9" x14ac:dyDescent="0.25">
      <c r="A77" s="3" t="s">
        <v>69</v>
      </c>
      <c r="B77" s="7">
        <v>46036</v>
      </c>
      <c r="C77" s="7" t="str">
        <f t="shared" si="11"/>
        <v>Wednesday</v>
      </c>
      <c r="D77" s="9" t="s">
        <v>12</v>
      </c>
      <c r="E77" s="9" t="s">
        <v>12</v>
      </c>
      <c r="F77" s="57" t="s">
        <v>160</v>
      </c>
      <c r="G77" s="57"/>
      <c r="H77" s="57"/>
    </row>
    <row r="78" spans="1:9" x14ac:dyDescent="0.25">
      <c r="A78" s="3" t="s">
        <v>69</v>
      </c>
      <c r="B78" s="7">
        <v>46037</v>
      </c>
      <c r="C78" s="7" t="str">
        <f t="shared" si="11"/>
        <v>Thursday</v>
      </c>
      <c r="D78" s="9" t="s">
        <v>15</v>
      </c>
      <c r="E78" s="9" t="s">
        <v>34</v>
      </c>
      <c r="F78" s="6" t="str">
        <f t="shared" si="14"/>
        <v>OK</v>
      </c>
      <c r="G78" s="14">
        <f t="shared" si="13"/>
        <v>0.32569444444444445</v>
      </c>
      <c r="H78" s="8" t="str">
        <f t="shared" si="12"/>
        <v>NO OT</v>
      </c>
    </row>
    <row r="79" spans="1:9" x14ac:dyDescent="0.25">
      <c r="A79" s="3" t="s">
        <v>69</v>
      </c>
      <c r="B79" s="7">
        <v>46038</v>
      </c>
      <c r="C79" s="7" t="str">
        <f t="shared" si="11"/>
        <v>Friday</v>
      </c>
      <c r="D79" s="9" t="s">
        <v>7</v>
      </c>
      <c r="E79" s="9" t="s">
        <v>43</v>
      </c>
      <c r="F79" s="6" t="str">
        <f t="shared" si="14"/>
        <v>OK</v>
      </c>
      <c r="G79" s="14">
        <f t="shared" si="13"/>
        <v>0.33402777777777781</v>
      </c>
      <c r="H79" s="8" t="str">
        <f t="shared" si="12"/>
        <v>NO OT</v>
      </c>
    </row>
    <row r="80" spans="1:9" x14ac:dyDescent="0.25">
      <c r="A80" s="3" t="s">
        <v>69</v>
      </c>
      <c r="B80" s="7">
        <v>46039</v>
      </c>
      <c r="C80" s="7" t="str">
        <f t="shared" si="11"/>
        <v>Saturday</v>
      </c>
      <c r="D80" s="9" t="s">
        <v>83</v>
      </c>
      <c r="E80" s="9" t="s">
        <v>39</v>
      </c>
      <c r="F80" s="6" t="str">
        <f t="shared" si="14"/>
        <v>LATE</v>
      </c>
      <c r="G80" s="14">
        <f t="shared" si="13"/>
        <v>0.29444444444444445</v>
      </c>
      <c r="H80" s="8" t="str">
        <f t="shared" si="12"/>
        <v>NO OT</v>
      </c>
    </row>
    <row r="81" spans="1:9" x14ac:dyDescent="0.25">
      <c r="A81" s="3" t="s">
        <v>69</v>
      </c>
      <c r="B81" s="7">
        <v>46040</v>
      </c>
      <c r="C81" s="56" t="str">
        <f t="shared" si="11"/>
        <v>Sunday</v>
      </c>
      <c r="D81" s="56"/>
      <c r="E81" s="56"/>
      <c r="F81" s="56"/>
      <c r="G81" s="56"/>
      <c r="H81" s="56"/>
    </row>
    <row r="82" spans="1:9" x14ac:dyDescent="0.25">
      <c r="A82" s="3" t="s">
        <v>69</v>
      </c>
      <c r="B82" s="7">
        <v>46041</v>
      </c>
      <c r="C82" s="7" t="str">
        <f t="shared" si="11"/>
        <v>Monday</v>
      </c>
      <c r="D82" s="9" t="s">
        <v>24</v>
      </c>
      <c r="E82" s="9" t="s">
        <v>38</v>
      </c>
      <c r="F82" s="6" t="str">
        <f t="shared" si="14"/>
        <v>OK</v>
      </c>
      <c r="G82" s="14">
        <f t="shared" si="13"/>
        <v>0.3347222222222222</v>
      </c>
      <c r="H82" s="8" t="str">
        <f t="shared" si="12"/>
        <v>NO OT</v>
      </c>
    </row>
    <row r="83" spans="1:9" x14ac:dyDescent="0.25">
      <c r="A83" s="3" t="s">
        <v>69</v>
      </c>
      <c r="B83" s="7">
        <v>46042</v>
      </c>
      <c r="C83" s="7" t="str">
        <f t="shared" si="11"/>
        <v>Tuesday</v>
      </c>
      <c r="D83" s="9" t="s">
        <v>84</v>
      </c>
      <c r="E83" s="9" t="s">
        <v>8</v>
      </c>
      <c r="F83" s="6" t="str">
        <f t="shared" si="14"/>
        <v>OK</v>
      </c>
      <c r="G83" s="14">
        <f t="shared" si="13"/>
        <v>0.35624999999999996</v>
      </c>
      <c r="H83" s="8" t="str">
        <f t="shared" si="12"/>
        <v>NO OT</v>
      </c>
    </row>
    <row r="84" spans="1:9" x14ac:dyDescent="0.25">
      <c r="A84" s="3" t="s">
        <v>69</v>
      </c>
      <c r="B84" s="7">
        <v>46043</v>
      </c>
      <c r="C84" s="7" t="str">
        <f t="shared" si="11"/>
        <v>Wednesday</v>
      </c>
      <c r="D84" s="9" t="s">
        <v>85</v>
      </c>
      <c r="E84" s="9" t="s">
        <v>55</v>
      </c>
      <c r="F84" s="6" t="str">
        <f t="shared" si="14"/>
        <v>OK</v>
      </c>
      <c r="G84" s="14">
        <f t="shared" si="13"/>
        <v>0.34236111111111106</v>
      </c>
      <c r="H84" s="8" t="str">
        <f t="shared" si="12"/>
        <v>NO OT</v>
      </c>
    </row>
    <row r="85" spans="1:9" x14ac:dyDescent="0.25">
      <c r="A85" s="3" t="s">
        <v>69</v>
      </c>
      <c r="B85" s="7">
        <v>46044</v>
      </c>
      <c r="C85" s="7" t="str">
        <f t="shared" si="11"/>
        <v>Thursday</v>
      </c>
      <c r="D85" s="9" t="s">
        <v>63</v>
      </c>
      <c r="E85" s="9" t="s">
        <v>86</v>
      </c>
      <c r="F85" s="6" t="str">
        <f t="shared" si="14"/>
        <v>OK</v>
      </c>
      <c r="G85" s="14">
        <f t="shared" si="13"/>
        <v>0.32152777777777775</v>
      </c>
      <c r="H85" s="8" t="str">
        <f t="shared" si="12"/>
        <v>NO OT</v>
      </c>
    </row>
    <row r="86" spans="1:9" x14ac:dyDescent="0.25">
      <c r="A86" s="3" t="s">
        <v>69</v>
      </c>
      <c r="B86" s="7">
        <v>46045</v>
      </c>
      <c r="C86" s="7" t="str">
        <f t="shared" si="11"/>
        <v>Friday</v>
      </c>
      <c r="D86" s="9" t="s">
        <v>11</v>
      </c>
      <c r="E86" s="9" t="s">
        <v>44</v>
      </c>
      <c r="F86" s="6" t="str">
        <f t="shared" si="14"/>
        <v>OK</v>
      </c>
      <c r="G86" s="14">
        <f t="shared" si="13"/>
        <v>0.3666666666666667</v>
      </c>
      <c r="H86" s="8" t="str">
        <f t="shared" si="12"/>
        <v>00:20</v>
      </c>
    </row>
    <row r="87" spans="1:9" x14ac:dyDescent="0.25">
      <c r="A87" s="3" t="s">
        <v>69</v>
      </c>
      <c r="B87" s="7">
        <v>46046</v>
      </c>
      <c r="C87" s="7" t="str">
        <f t="shared" si="11"/>
        <v>Saturday</v>
      </c>
      <c r="D87" s="9" t="s">
        <v>15</v>
      </c>
      <c r="E87" s="9" t="s">
        <v>33</v>
      </c>
      <c r="F87" s="6" t="str">
        <f t="shared" si="14"/>
        <v>OK</v>
      </c>
      <c r="G87" s="14">
        <f t="shared" si="13"/>
        <v>0.3249999999999999</v>
      </c>
      <c r="H87" s="8" t="str">
        <f t="shared" si="12"/>
        <v>NO OT</v>
      </c>
    </row>
    <row r="88" spans="1:9" x14ac:dyDescent="0.25">
      <c r="A88" s="3" t="s">
        <v>69</v>
      </c>
      <c r="B88" s="7">
        <v>46047</v>
      </c>
      <c r="C88" s="56" t="str">
        <f t="shared" si="11"/>
        <v>Sunday</v>
      </c>
      <c r="D88" s="56"/>
      <c r="E88" s="56"/>
      <c r="F88" s="56"/>
      <c r="G88" s="56"/>
      <c r="H88" s="56"/>
    </row>
    <row r="89" spans="1:9" x14ac:dyDescent="0.25">
      <c r="A89" s="3" t="s">
        <v>69</v>
      </c>
      <c r="B89" s="7">
        <v>46048</v>
      </c>
      <c r="C89" s="7" t="str">
        <f t="shared" si="11"/>
        <v>Monday</v>
      </c>
      <c r="D89" s="9" t="s">
        <v>87</v>
      </c>
      <c r="E89" s="9" t="s">
        <v>42</v>
      </c>
      <c r="F89" s="6" t="str">
        <f t="shared" si="14"/>
        <v>LATE</v>
      </c>
      <c r="G89" s="14">
        <f t="shared" si="13"/>
        <v>0.32847222222222222</v>
      </c>
      <c r="H89" s="8" t="str">
        <f t="shared" si="12"/>
        <v>NO OT</v>
      </c>
    </row>
    <row r="90" spans="1:9" x14ac:dyDescent="0.25">
      <c r="A90" s="3" t="s">
        <v>69</v>
      </c>
      <c r="B90" s="7">
        <v>46049</v>
      </c>
      <c r="C90" s="7" t="str">
        <f t="shared" si="11"/>
        <v>Tuesday</v>
      </c>
      <c r="D90" s="9" t="s">
        <v>88</v>
      </c>
      <c r="E90" s="9" t="s">
        <v>89</v>
      </c>
      <c r="F90" s="6" t="str">
        <f t="shared" si="14"/>
        <v>LATE</v>
      </c>
      <c r="G90" s="14">
        <f t="shared" si="13"/>
        <v>0.32013888888888886</v>
      </c>
      <c r="H90" s="8" t="str">
        <f t="shared" si="12"/>
        <v>NO OT</v>
      </c>
    </row>
    <row r="91" spans="1:9" x14ac:dyDescent="0.25">
      <c r="A91" s="3" t="s">
        <v>69</v>
      </c>
      <c r="B91" s="7">
        <v>46050</v>
      </c>
      <c r="C91" s="7" t="str">
        <f t="shared" si="11"/>
        <v>Wednesday</v>
      </c>
      <c r="D91" s="9" t="s">
        <v>74</v>
      </c>
      <c r="E91" s="9" t="s">
        <v>57</v>
      </c>
      <c r="F91" s="6" t="str">
        <f t="shared" si="14"/>
        <v>OK</v>
      </c>
      <c r="G91" s="14">
        <f t="shared" si="13"/>
        <v>0.32083333333333336</v>
      </c>
      <c r="H91" s="8" t="str">
        <f t="shared" si="12"/>
        <v>NO OT</v>
      </c>
    </row>
    <row r="92" spans="1:9" x14ac:dyDescent="0.25">
      <c r="A92" s="3" t="s">
        <v>69</v>
      </c>
      <c r="B92" s="7">
        <v>46051</v>
      </c>
      <c r="C92" s="7" t="str">
        <f t="shared" si="11"/>
        <v>Thursday</v>
      </c>
      <c r="D92" s="9" t="s">
        <v>28</v>
      </c>
      <c r="E92" s="9" t="s">
        <v>90</v>
      </c>
      <c r="F92" s="6" t="str">
        <f t="shared" si="14"/>
        <v>LATE</v>
      </c>
      <c r="G92" s="14">
        <f t="shared" si="13"/>
        <v>0.32291666666666669</v>
      </c>
      <c r="H92" s="8" t="str">
        <f t="shared" si="12"/>
        <v>NO OT</v>
      </c>
    </row>
    <row r="93" spans="1:9" x14ac:dyDescent="0.25">
      <c r="A93" s="3" t="s">
        <v>69</v>
      </c>
      <c r="B93" s="7">
        <v>46052</v>
      </c>
      <c r="C93" s="7" t="str">
        <f t="shared" si="11"/>
        <v>Friday</v>
      </c>
      <c r="D93" s="9" t="s">
        <v>81</v>
      </c>
      <c r="E93" s="9" t="s">
        <v>33</v>
      </c>
      <c r="F93" s="6" t="str">
        <f t="shared" si="14"/>
        <v>OK</v>
      </c>
      <c r="G93" s="14">
        <f t="shared" si="13"/>
        <v>0.32361111111111102</v>
      </c>
      <c r="H93" s="8" t="str">
        <f t="shared" si="12"/>
        <v>NO OT</v>
      </c>
    </row>
    <row r="94" spans="1:9" x14ac:dyDescent="0.25">
      <c r="A94" s="3" t="s">
        <v>69</v>
      </c>
      <c r="B94" s="7">
        <v>46053</v>
      </c>
      <c r="C94" s="7" t="str">
        <f t="shared" si="11"/>
        <v>Saturday</v>
      </c>
      <c r="D94" s="9" t="s">
        <v>52</v>
      </c>
      <c r="E94" s="9" t="s">
        <v>34</v>
      </c>
      <c r="F94" s="6" t="str">
        <f t="shared" si="14"/>
        <v>OK</v>
      </c>
      <c r="G94" s="14">
        <f t="shared" si="13"/>
        <v>0.33263888888888893</v>
      </c>
      <c r="H94" s="8" t="str">
        <f t="shared" si="12"/>
        <v>NO OT</v>
      </c>
    </row>
    <row r="95" spans="1:9" x14ac:dyDescent="0.25">
      <c r="A95" s="3" t="s">
        <v>70</v>
      </c>
      <c r="B95" s="7">
        <v>46023</v>
      </c>
      <c r="C95" s="7" t="str">
        <f t="shared" si="11"/>
        <v>Thursday</v>
      </c>
      <c r="D95" s="9" t="s">
        <v>12</v>
      </c>
      <c r="E95" s="9" t="s">
        <v>12</v>
      </c>
      <c r="F95" s="57" t="str">
        <f t="shared" si="14"/>
        <v>ABSENT</v>
      </c>
      <c r="G95" s="57"/>
      <c r="H95" s="57"/>
      <c r="I95" s="3">
        <v>1</v>
      </c>
    </row>
    <row r="96" spans="1:9" x14ac:dyDescent="0.25">
      <c r="A96" s="3" t="s">
        <v>70</v>
      </c>
      <c r="B96" s="7">
        <v>46024</v>
      </c>
      <c r="C96" s="7" t="str">
        <f t="shared" si="11"/>
        <v>Friday</v>
      </c>
      <c r="D96" s="9" t="s">
        <v>12</v>
      </c>
      <c r="E96" s="9" t="s">
        <v>12</v>
      </c>
      <c r="F96" s="57" t="str">
        <f t="shared" si="14"/>
        <v>ABSENT</v>
      </c>
      <c r="G96" s="57"/>
      <c r="H96" s="57"/>
      <c r="I96" s="3">
        <v>2</v>
      </c>
    </row>
    <row r="97" spans="1:9" x14ac:dyDescent="0.25">
      <c r="A97" s="3" t="s">
        <v>70</v>
      </c>
      <c r="B97" s="7">
        <v>46025</v>
      </c>
      <c r="C97" s="7" t="str">
        <f t="shared" si="11"/>
        <v>Saturday</v>
      </c>
      <c r="D97" s="9" t="s">
        <v>12</v>
      </c>
      <c r="E97" s="9" t="s">
        <v>12</v>
      </c>
      <c r="F97" s="57" t="str">
        <f t="shared" si="14"/>
        <v>ABSENT</v>
      </c>
      <c r="G97" s="57"/>
      <c r="H97" s="57"/>
      <c r="I97" s="3">
        <v>3</v>
      </c>
    </row>
    <row r="98" spans="1:9" x14ac:dyDescent="0.25">
      <c r="A98" s="3" t="s">
        <v>70</v>
      </c>
      <c r="B98" s="7">
        <v>46026</v>
      </c>
      <c r="C98" s="56" t="str">
        <f t="shared" si="11"/>
        <v>Sunday</v>
      </c>
      <c r="D98" s="56"/>
      <c r="E98" s="56"/>
      <c r="F98" s="56"/>
      <c r="G98" s="56"/>
      <c r="H98" s="56"/>
    </row>
    <row r="99" spans="1:9" x14ac:dyDescent="0.25">
      <c r="A99" s="3" t="s">
        <v>70</v>
      </c>
      <c r="B99" s="7">
        <v>46027</v>
      </c>
      <c r="C99" s="7" t="str">
        <f t="shared" si="11"/>
        <v>Monday</v>
      </c>
      <c r="D99" s="9" t="s">
        <v>91</v>
      </c>
      <c r="E99" s="9" t="s">
        <v>33</v>
      </c>
      <c r="F99" s="6" t="str">
        <f t="shared" si="14"/>
        <v>LATE</v>
      </c>
      <c r="G99" s="14">
        <f t="shared" si="13"/>
        <v>0.30833333333333324</v>
      </c>
      <c r="H99" s="8" t="str">
        <f t="shared" si="12"/>
        <v>NO OT</v>
      </c>
    </row>
    <row r="100" spans="1:9" x14ac:dyDescent="0.25">
      <c r="A100" s="3" t="s">
        <v>70</v>
      </c>
      <c r="B100" s="7">
        <v>46028</v>
      </c>
      <c r="C100" s="7" t="str">
        <f t="shared" si="11"/>
        <v>Tuesday</v>
      </c>
      <c r="D100" s="9" t="s">
        <v>14</v>
      </c>
      <c r="E100" s="9" t="s">
        <v>34</v>
      </c>
      <c r="F100" s="6" t="str">
        <f t="shared" si="14"/>
        <v>OK</v>
      </c>
      <c r="G100" s="14">
        <f t="shared" si="13"/>
        <v>0.33680555555555558</v>
      </c>
      <c r="H100" s="8" t="str">
        <f t="shared" si="12"/>
        <v>NO OT</v>
      </c>
    </row>
    <row r="101" spans="1:9" x14ac:dyDescent="0.25">
      <c r="A101" s="3" t="s">
        <v>70</v>
      </c>
      <c r="B101" s="7">
        <v>46029</v>
      </c>
      <c r="C101" s="7" t="str">
        <f t="shared" si="11"/>
        <v>Wednesday</v>
      </c>
      <c r="D101" s="9" t="s">
        <v>15</v>
      </c>
      <c r="E101" s="9" t="s">
        <v>35</v>
      </c>
      <c r="F101" s="6" t="str">
        <f t="shared" si="14"/>
        <v>OK</v>
      </c>
      <c r="G101" s="14">
        <f t="shared" si="13"/>
        <v>0.33888888888888885</v>
      </c>
      <c r="H101" s="8" t="str">
        <f t="shared" si="12"/>
        <v>NO OT</v>
      </c>
    </row>
    <row r="102" spans="1:9" x14ac:dyDescent="0.25">
      <c r="A102" s="3" t="s">
        <v>70</v>
      </c>
      <c r="B102" s="7">
        <v>46030</v>
      </c>
      <c r="C102" s="7" t="str">
        <f t="shared" si="11"/>
        <v>Thursday</v>
      </c>
      <c r="D102" s="9" t="s">
        <v>81</v>
      </c>
      <c r="E102" s="9" t="s">
        <v>32</v>
      </c>
      <c r="F102" s="6" t="str">
        <f t="shared" si="14"/>
        <v>OK</v>
      </c>
      <c r="G102" s="14">
        <f t="shared" si="13"/>
        <v>0.32847222222222222</v>
      </c>
      <c r="H102" s="8" t="str">
        <f t="shared" si="12"/>
        <v>NO OT</v>
      </c>
    </row>
    <row r="103" spans="1:9" x14ac:dyDescent="0.25">
      <c r="A103" s="3" t="s">
        <v>70</v>
      </c>
      <c r="B103" s="7">
        <v>46031</v>
      </c>
      <c r="C103" s="7" t="str">
        <f t="shared" si="11"/>
        <v>Friday</v>
      </c>
      <c r="D103" s="9" t="s">
        <v>16</v>
      </c>
      <c r="E103" s="9" t="s">
        <v>75</v>
      </c>
      <c r="F103" s="6" t="str">
        <f t="shared" si="14"/>
        <v>OK</v>
      </c>
      <c r="G103" s="14">
        <f t="shared" si="13"/>
        <v>0.33888888888888891</v>
      </c>
      <c r="H103" s="8" t="str">
        <f t="shared" si="12"/>
        <v>NO OT</v>
      </c>
    </row>
    <row r="104" spans="1:9" x14ac:dyDescent="0.25">
      <c r="A104" s="3" t="s">
        <v>70</v>
      </c>
      <c r="B104" s="7">
        <v>46032</v>
      </c>
      <c r="C104" s="7" t="str">
        <f t="shared" si="11"/>
        <v>Saturday</v>
      </c>
      <c r="D104" s="9" t="s">
        <v>92</v>
      </c>
      <c r="E104" s="9" t="s">
        <v>57</v>
      </c>
      <c r="F104" s="6" t="str">
        <f t="shared" si="14"/>
        <v>OK</v>
      </c>
      <c r="G104" s="14">
        <f t="shared" si="13"/>
        <v>0.32361111111111113</v>
      </c>
      <c r="H104" s="8" t="str">
        <f t="shared" si="12"/>
        <v>NO OT</v>
      </c>
    </row>
    <row r="105" spans="1:9" x14ac:dyDescent="0.25">
      <c r="A105" s="3" t="s">
        <v>70</v>
      </c>
      <c r="B105" s="7">
        <v>46033</v>
      </c>
      <c r="C105" s="56" t="str">
        <f t="shared" si="11"/>
        <v>Sunday</v>
      </c>
      <c r="D105" s="56"/>
      <c r="E105" s="56"/>
      <c r="F105" s="56"/>
      <c r="G105" s="56"/>
      <c r="H105" s="56"/>
    </row>
    <row r="106" spans="1:9" x14ac:dyDescent="0.25">
      <c r="A106" s="3" t="s">
        <v>70</v>
      </c>
      <c r="B106" s="7">
        <v>46034</v>
      </c>
      <c r="C106" s="7" t="str">
        <f t="shared" si="11"/>
        <v>Monday</v>
      </c>
      <c r="D106" s="9" t="s">
        <v>12</v>
      </c>
      <c r="E106" s="9" t="s">
        <v>12</v>
      </c>
      <c r="F106" s="57" t="str">
        <f t="shared" ref="F106" si="15">IF(C106="Sunday", "SUNDAY", IF(OR(D106=0, D106="", D106="0:0"), "ABSENT", IF(MOD(D106,1) &gt; TIME(9,45,0), "LATE", "OK")))</f>
        <v>ABSENT</v>
      </c>
      <c r="G106" s="57"/>
      <c r="H106" s="57"/>
      <c r="I106" s="3">
        <v>4</v>
      </c>
    </row>
    <row r="107" spans="1:9" x14ac:dyDescent="0.25">
      <c r="A107" s="3" t="s">
        <v>70</v>
      </c>
      <c r="B107" s="7">
        <v>46035</v>
      </c>
      <c r="C107" s="7" t="str">
        <f t="shared" si="11"/>
        <v>Tuesday</v>
      </c>
      <c r="D107" s="9" t="s">
        <v>93</v>
      </c>
      <c r="E107" s="9" t="s">
        <v>94</v>
      </c>
      <c r="F107" s="6" t="str">
        <f t="shared" si="14"/>
        <v>LATE</v>
      </c>
      <c r="G107" s="14">
        <f t="shared" si="13"/>
        <v>0.20347222222222214</v>
      </c>
      <c r="H107" s="8" t="str">
        <f t="shared" si="12"/>
        <v>00:47</v>
      </c>
      <c r="I107" s="3" t="s">
        <v>159</v>
      </c>
    </row>
    <row r="108" spans="1:9" x14ac:dyDescent="0.25">
      <c r="A108" s="3" t="s">
        <v>70</v>
      </c>
      <c r="B108" s="7">
        <v>46036</v>
      </c>
      <c r="C108" s="7" t="str">
        <f t="shared" si="11"/>
        <v>Wednesday</v>
      </c>
      <c r="D108" s="9" t="s">
        <v>12</v>
      </c>
      <c r="E108" s="9" t="s">
        <v>12</v>
      </c>
      <c r="F108" s="57" t="s">
        <v>160</v>
      </c>
      <c r="G108" s="57"/>
      <c r="H108" s="57"/>
      <c r="I108" s="3">
        <v>5</v>
      </c>
    </row>
    <row r="109" spans="1:9" x14ac:dyDescent="0.25">
      <c r="A109" s="3" t="s">
        <v>70</v>
      </c>
      <c r="B109" s="7">
        <v>46037</v>
      </c>
      <c r="C109" s="7" t="str">
        <f t="shared" si="11"/>
        <v>Thursday</v>
      </c>
      <c r="D109" s="9" t="s">
        <v>12</v>
      </c>
      <c r="E109" s="9" t="s">
        <v>12</v>
      </c>
      <c r="F109" s="57" t="str">
        <f t="shared" si="14"/>
        <v>ABSENT</v>
      </c>
      <c r="G109" s="57"/>
      <c r="H109" s="57"/>
      <c r="I109" s="3">
        <v>6</v>
      </c>
    </row>
    <row r="110" spans="1:9" x14ac:dyDescent="0.25">
      <c r="A110" s="3" t="s">
        <v>70</v>
      </c>
      <c r="B110" s="7">
        <v>46038</v>
      </c>
      <c r="C110" s="7" t="str">
        <f t="shared" si="11"/>
        <v>Friday</v>
      </c>
      <c r="D110" s="9" t="s">
        <v>12</v>
      </c>
      <c r="E110" s="9" t="s">
        <v>12</v>
      </c>
      <c r="F110" s="57" t="str">
        <f t="shared" si="14"/>
        <v>ABSENT</v>
      </c>
      <c r="G110" s="57"/>
      <c r="H110" s="57"/>
      <c r="I110" s="3">
        <v>7</v>
      </c>
    </row>
    <row r="111" spans="1:9" x14ac:dyDescent="0.25">
      <c r="A111" s="3" t="s">
        <v>70</v>
      </c>
      <c r="B111" s="7">
        <v>46039</v>
      </c>
      <c r="C111" s="7" t="str">
        <f t="shared" si="11"/>
        <v>Saturday</v>
      </c>
      <c r="D111" s="9" t="s">
        <v>12</v>
      </c>
      <c r="E111" s="9" t="s">
        <v>12</v>
      </c>
      <c r="F111" s="57" t="str">
        <f t="shared" si="14"/>
        <v>ABSENT</v>
      </c>
      <c r="G111" s="57"/>
      <c r="H111" s="57"/>
      <c r="I111" s="3">
        <v>8</v>
      </c>
    </row>
    <row r="112" spans="1:9" x14ac:dyDescent="0.25">
      <c r="A112" s="3" t="s">
        <v>70</v>
      </c>
      <c r="B112" s="7">
        <v>46040</v>
      </c>
      <c r="C112" s="56" t="str">
        <f t="shared" si="11"/>
        <v>Sunday</v>
      </c>
      <c r="D112" s="56"/>
      <c r="E112" s="56"/>
      <c r="F112" s="56"/>
      <c r="G112" s="56"/>
      <c r="H112" s="56"/>
    </row>
    <row r="113" spans="1:9" x14ac:dyDescent="0.25">
      <c r="A113" s="3" t="s">
        <v>70</v>
      </c>
      <c r="B113" s="7">
        <v>46041</v>
      </c>
      <c r="C113" s="7" t="str">
        <f t="shared" si="11"/>
        <v>Monday</v>
      </c>
      <c r="D113" s="9" t="s">
        <v>12</v>
      </c>
      <c r="E113" s="9" t="s">
        <v>12</v>
      </c>
      <c r="F113" s="57" t="str">
        <f t="shared" ref="F113:F118" si="16">IF(C113="Sunday", "SUNDAY", IF(OR(D113=0, D113="", D113="0:0"), "ABSENT", IF(MOD(D113,1) &gt; TIME(9,45,0), "LATE", "OK")))</f>
        <v>ABSENT</v>
      </c>
      <c r="G113" s="57"/>
      <c r="H113" s="57"/>
      <c r="I113" s="3">
        <v>9</v>
      </c>
    </row>
    <row r="114" spans="1:9" x14ac:dyDescent="0.25">
      <c r="A114" s="3" t="s">
        <v>70</v>
      </c>
      <c r="B114" s="7">
        <v>46042</v>
      </c>
      <c r="C114" s="7" t="str">
        <f t="shared" si="11"/>
        <v>Tuesday</v>
      </c>
      <c r="D114" s="9" t="s">
        <v>12</v>
      </c>
      <c r="E114" s="9" t="s">
        <v>12</v>
      </c>
      <c r="F114" s="57" t="str">
        <f t="shared" si="16"/>
        <v>ABSENT</v>
      </c>
      <c r="G114" s="57"/>
      <c r="H114" s="57"/>
      <c r="I114" s="3">
        <v>10</v>
      </c>
    </row>
    <row r="115" spans="1:9" x14ac:dyDescent="0.25">
      <c r="A115" s="3" t="s">
        <v>70</v>
      </c>
      <c r="B115" s="7">
        <v>46043</v>
      </c>
      <c r="C115" s="7" t="str">
        <f t="shared" si="11"/>
        <v>Wednesday</v>
      </c>
      <c r="D115" s="9" t="s">
        <v>12</v>
      </c>
      <c r="E115" s="9" t="s">
        <v>12</v>
      </c>
      <c r="F115" s="57" t="str">
        <f t="shared" si="16"/>
        <v>ABSENT</v>
      </c>
      <c r="G115" s="57"/>
      <c r="H115" s="57"/>
      <c r="I115" s="3">
        <v>11</v>
      </c>
    </row>
    <row r="116" spans="1:9" x14ac:dyDescent="0.25">
      <c r="A116" s="3" t="s">
        <v>70</v>
      </c>
      <c r="B116" s="7">
        <v>46044</v>
      </c>
      <c r="C116" s="7" t="str">
        <f t="shared" si="11"/>
        <v>Thursday</v>
      </c>
      <c r="D116" s="9" t="s">
        <v>12</v>
      </c>
      <c r="E116" s="9" t="s">
        <v>12</v>
      </c>
      <c r="F116" s="57" t="str">
        <f t="shared" si="16"/>
        <v>ABSENT</v>
      </c>
      <c r="G116" s="57"/>
      <c r="H116" s="57"/>
      <c r="I116" s="3">
        <v>12</v>
      </c>
    </row>
    <row r="117" spans="1:9" x14ac:dyDescent="0.25">
      <c r="A117" s="3" t="s">
        <v>70</v>
      </c>
      <c r="B117" s="7">
        <v>46045</v>
      </c>
      <c r="C117" s="7" t="str">
        <f t="shared" si="11"/>
        <v>Friday</v>
      </c>
      <c r="D117" s="9" t="s">
        <v>12</v>
      </c>
      <c r="E117" s="9" t="s">
        <v>12</v>
      </c>
      <c r="F117" s="57" t="str">
        <f t="shared" si="16"/>
        <v>ABSENT</v>
      </c>
      <c r="G117" s="57"/>
      <c r="H117" s="57"/>
      <c r="I117" s="3">
        <v>13</v>
      </c>
    </row>
    <row r="118" spans="1:9" x14ac:dyDescent="0.25">
      <c r="A118" s="3" t="s">
        <v>70</v>
      </c>
      <c r="B118" s="7">
        <v>46046</v>
      </c>
      <c r="C118" s="7" t="str">
        <f t="shared" si="11"/>
        <v>Saturday</v>
      </c>
      <c r="D118" s="9" t="s">
        <v>12</v>
      </c>
      <c r="E118" s="9" t="s">
        <v>12</v>
      </c>
      <c r="F118" s="57" t="str">
        <f t="shared" si="16"/>
        <v>ABSENT</v>
      </c>
      <c r="G118" s="57"/>
      <c r="H118" s="57"/>
      <c r="I118" s="3">
        <v>14</v>
      </c>
    </row>
    <row r="119" spans="1:9" x14ac:dyDescent="0.25">
      <c r="A119" s="3" t="s">
        <v>70</v>
      </c>
      <c r="B119" s="7">
        <v>46047</v>
      </c>
      <c r="C119" s="56" t="str">
        <f t="shared" si="11"/>
        <v>Sunday</v>
      </c>
      <c r="D119" s="56"/>
      <c r="E119" s="56"/>
      <c r="F119" s="56"/>
      <c r="G119" s="56"/>
      <c r="H119" s="56"/>
    </row>
    <row r="120" spans="1:9" x14ac:dyDescent="0.25">
      <c r="A120" s="3" t="s">
        <v>70</v>
      </c>
      <c r="B120" s="7">
        <v>46048</v>
      </c>
      <c r="C120" s="7" t="str">
        <f t="shared" si="11"/>
        <v>Monday</v>
      </c>
      <c r="D120" s="9" t="s">
        <v>12</v>
      </c>
      <c r="E120" s="9" t="s">
        <v>12</v>
      </c>
      <c r="F120" s="57" t="str">
        <f t="shared" ref="F120:F125" si="17">IF(C120="Sunday", "SUNDAY", IF(OR(D120=0, D120="", D120="0:0"), "ABSENT", IF(MOD(D120,1) &gt; TIME(9,45,0), "LATE", "OK")))</f>
        <v>ABSENT</v>
      </c>
      <c r="G120" s="57"/>
      <c r="H120" s="57"/>
      <c r="I120" s="3">
        <v>15</v>
      </c>
    </row>
    <row r="121" spans="1:9" x14ac:dyDescent="0.25">
      <c r="A121" s="3" t="s">
        <v>70</v>
      </c>
      <c r="B121" s="7">
        <v>46049</v>
      </c>
      <c r="C121" s="7" t="str">
        <f t="shared" si="11"/>
        <v>Tuesday</v>
      </c>
      <c r="D121" s="9" t="s">
        <v>12</v>
      </c>
      <c r="E121" s="9" t="s">
        <v>12</v>
      </c>
      <c r="F121" s="57" t="str">
        <f t="shared" si="17"/>
        <v>ABSENT</v>
      </c>
      <c r="G121" s="57"/>
      <c r="H121" s="57"/>
      <c r="I121" s="3">
        <v>16</v>
      </c>
    </row>
    <row r="122" spans="1:9" x14ac:dyDescent="0.25">
      <c r="A122" s="3" t="s">
        <v>70</v>
      </c>
      <c r="B122" s="7">
        <v>46050</v>
      </c>
      <c r="C122" s="7" t="str">
        <f t="shared" si="11"/>
        <v>Wednesday</v>
      </c>
      <c r="D122" s="9" t="s">
        <v>12</v>
      </c>
      <c r="E122" s="9" t="s">
        <v>12</v>
      </c>
      <c r="F122" s="57" t="str">
        <f t="shared" si="17"/>
        <v>ABSENT</v>
      </c>
      <c r="G122" s="57"/>
      <c r="H122" s="57"/>
      <c r="I122" s="3">
        <v>17</v>
      </c>
    </row>
    <row r="123" spans="1:9" x14ac:dyDescent="0.25">
      <c r="A123" s="3" t="s">
        <v>70</v>
      </c>
      <c r="B123" s="7">
        <v>46051</v>
      </c>
      <c r="C123" s="7" t="str">
        <f t="shared" si="11"/>
        <v>Thursday</v>
      </c>
      <c r="D123" s="9" t="s">
        <v>12</v>
      </c>
      <c r="E123" s="9" t="s">
        <v>12</v>
      </c>
      <c r="F123" s="57" t="str">
        <f t="shared" si="17"/>
        <v>ABSENT</v>
      </c>
      <c r="G123" s="57"/>
      <c r="H123" s="57"/>
      <c r="I123" s="3">
        <v>18</v>
      </c>
    </row>
    <row r="124" spans="1:9" x14ac:dyDescent="0.25">
      <c r="A124" s="3" t="s">
        <v>70</v>
      </c>
      <c r="B124" s="7">
        <v>46052</v>
      </c>
      <c r="C124" s="7" t="str">
        <f t="shared" si="11"/>
        <v>Friday</v>
      </c>
      <c r="D124" s="9" t="s">
        <v>12</v>
      </c>
      <c r="E124" s="9" t="s">
        <v>12</v>
      </c>
      <c r="F124" s="57" t="str">
        <f t="shared" si="17"/>
        <v>ABSENT</v>
      </c>
      <c r="G124" s="57"/>
      <c r="H124" s="57"/>
      <c r="I124" s="3">
        <v>19</v>
      </c>
    </row>
    <row r="125" spans="1:9" x14ac:dyDescent="0.25">
      <c r="A125" s="3" t="s">
        <v>70</v>
      </c>
      <c r="B125" s="7">
        <v>46053</v>
      </c>
      <c r="C125" s="7" t="str">
        <f t="shared" si="11"/>
        <v>Saturday</v>
      </c>
      <c r="D125" s="9" t="s">
        <v>95</v>
      </c>
      <c r="E125" s="9" t="s">
        <v>95</v>
      </c>
      <c r="F125" s="57" t="str">
        <f t="shared" si="17"/>
        <v>ABSENT</v>
      </c>
      <c r="G125" s="57"/>
      <c r="H125" s="57"/>
      <c r="I125" s="3">
        <v>20</v>
      </c>
    </row>
    <row r="126" spans="1:9" x14ac:dyDescent="0.25">
      <c r="A126" s="3" t="s">
        <v>71</v>
      </c>
      <c r="B126" s="7">
        <v>46023</v>
      </c>
      <c r="C126" s="7" t="str">
        <f t="shared" si="11"/>
        <v>Thursday</v>
      </c>
      <c r="D126" s="9" t="s">
        <v>28</v>
      </c>
      <c r="E126" s="9" t="s">
        <v>96</v>
      </c>
      <c r="F126" s="6" t="str">
        <f t="shared" si="14"/>
        <v>LATE</v>
      </c>
      <c r="G126" s="14">
        <f t="shared" si="13"/>
        <v>0.33819444444444441</v>
      </c>
      <c r="H126" s="8" t="str">
        <f t="shared" si="12"/>
        <v>NO OT</v>
      </c>
    </row>
    <row r="127" spans="1:9" x14ac:dyDescent="0.25">
      <c r="A127" s="3" t="s">
        <v>71</v>
      </c>
      <c r="B127" s="7">
        <v>46024</v>
      </c>
      <c r="C127" s="7" t="str">
        <f t="shared" si="11"/>
        <v>Friday</v>
      </c>
      <c r="D127" s="9" t="s">
        <v>74</v>
      </c>
      <c r="E127" s="9" t="s">
        <v>12</v>
      </c>
      <c r="F127" s="6" t="str">
        <f t="shared" si="14"/>
        <v>OK</v>
      </c>
      <c r="G127" s="14">
        <f t="shared" si="13"/>
        <v>-0.44722222222222224</v>
      </c>
      <c r="H127" s="8" t="str">
        <f t="shared" si="12"/>
        <v>NO OT</v>
      </c>
    </row>
    <row r="128" spans="1:9" x14ac:dyDescent="0.25">
      <c r="A128" s="3" t="s">
        <v>71</v>
      </c>
      <c r="B128" s="7">
        <v>46025</v>
      </c>
      <c r="C128" s="7" t="str">
        <f t="shared" si="11"/>
        <v>Saturday</v>
      </c>
      <c r="D128" s="9" t="s">
        <v>30</v>
      </c>
      <c r="E128" s="9" t="s">
        <v>55</v>
      </c>
      <c r="F128" s="6" t="str">
        <f t="shared" si="14"/>
        <v>OK</v>
      </c>
      <c r="G128" s="14">
        <f t="shared" si="13"/>
        <v>0.31597222222222215</v>
      </c>
      <c r="H128" s="8" t="str">
        <f t="shared" si="12"/>
        <v>NO OT</v>
      </c>
    </row>
    <row r="129" spans="1:9" x14ac:dyDescent="0.25">
      <c r="A129" s="3" t="s">
        <v>71</v>
      </c>
      <c r="B129" s="7">
        <v>46026</v>
      </c>
      <c r="C129" s="56" t="str">
        <f t="shared" si="11"/>
        <v>Sunday</v>
      </c>
      <c r="D129" s="56"/>
      <c r="E129" s="56"/>
      <c r="F129" s="56"/>
      <c r="G129" s="56"/>
      <c r="H129" s="56"/>
    </row>
    <row r="130" spans="1:9" x14ac:dyDescent="0.25">
      <c r="A130" s="3" t="s">
        <v>71</v>
      </c>
      <c r="B130" s="7">
        <v>46027</v>
      </c>
      <c r="C130" s="7" t="str">
        <f t="shared" si="11"/>
        <v>Monday</v>
      </c>
      <c r="D130" s="9" t="s">
        <v>74</v>
      </c>
      <c r="E130" s="9" t="s">
        <v>55</v>
      </c>
      <c r="F130" s="6" t="str">
        <f t="shared" si="14"/>
        <v>OK</v>
      </c>
      <c r="G130" s="14">
        <f t="shared" si="13"/>
        <v>0.3166666666666666</v>
      </c>
      <c r="H130" s="8" t="str">
        <f t="shared" si="12"/>
        <v>NO OT</v>
      </c>
    </row>
    <row r="131" spans="1:9" x14ac:dyDescent="0.25">
      <c r="A131" s="3" t="s">
        <v>71</v>
      </c>
      <c r="B131" s="7">
        <v>46028</v>
      </c>
      <c r="C131" s="7" t="str">
        <f t="shared" ref="C131:C194" si="18">TEXT(B131, "dddd")</f>
        <v>Tuesday</v>
      </c>
      <c r="D131" s="9" t="s">
        <v>97</v>
      </c>
      <c r="E131" s="9" t="s">
        <v>98</v>
      </c>
      <c r="F131" s="6" t="str">
        <f t="shared" si="14"/>
        <v>LATE</v>
      </c>
      <c r="G131" s="14">
        <f t="shared" si="13"/>
        <v>0.25763888888888892</v>
      </c>
      <c r="H131" s="8" t="str">
        <f t="shared" ref="H131:H194" si="19">IF(VALUE(E131) &gt; TIME(19,0,0), TEXT(VALUE(E131) - TIME(19,0,0), "hh:mm"), "NO OT")</f>
        <v>NO OT</v>
      </c>
    </row>
    <row r="132" spans="1:9" x14ac:dyDescent="0.25">
      <c r="A132" s="3" t="s">
        <v>71</v>
      </c>
      <c r="B132" s="7">
        <v>46029</v>
      </c>
      <c r="C132" s="7" t="str">
        <f t="shared" si="18"/>
        <v>Wednesday</v>
      </c>
      <c r="D132" s="9" t="s">
        <v>88</v>
      </c>
      <c r="E132" s="9" t="s">
        <v>10</v>
      </c>
      <c r="F132" s="6" t="str">
        <f t="shared" si="14"/>
        <v>LATE</v>
      </c>
      <c r="G132" s="14">
        <f t="shared" si="13"/>
        <v>0.31111111111111112</v>
      </c>
      <c r="H132" s="8" t="str">
        <f t="shared" si="19"/>
        <v>NO OT</v>
      </c>
    </row>
    <row r="133" spans="1:9" x14ac:dyDescent="0.25">
      <c r="A133" s="3" t="s">
        <v>71</v>
      </c>
      <c r="B133" s="7">
        <v>46030</v>
      </c>
      <c r="C133" s="7" t="str">
        <f t="shared" si="18"/>
        <v>Thursday</v>
      </c>
      <c r="D133" s="9" t="s">
        <v>99</v>
      </c>
      <c r="E133" s="9" t="s">
        <v>66</v>
      </c>
      <c r="F133" s="6" t="str">
        <f t="shared" si="14"/>
        <v>LATE</v>
      </c>
      <c r="G133" s="14">
        <f t="shared" ref="G133:G196" si="20">IF(OR(D133=0, D133="", E133=0, E133=""), 0, (E133-D133)-TIME(1,0,0))</f>
        <v>0.31388888888888883</v>
      </c>
      <c r="H133" s="8" t="str">
        <f t="shared" si="19"/>
        <v>NO OT</v>
      </c>
    </row>
    <row r="134" spans="1:9" x14ac:dyDescent="0.25">
      <c r="A134" s="3" t="s">
        <v>71</v>
      </c>
      <c r="B134" s="7">
        <v>46031</v>
      </c>
      <c r="C134" s="7" t="str">
        <f t="shared" si="18"/>
        <v>Friday</v>
      </c>
      <c r="D134" s="9" t="s">
        <v>21</v>
      </c>
      <c r="E134" s="9" t="s">
        <v>75</v>
      </c>
      <c r="F134" s="6" t="str">
        <f t="shared" ref="F134:F197" si="21">IF(C134="Sunday", "SUNDAY", IF(OR(D134=0, D134="", D134="0:0"), "ABSENT", IF(MOD(D134,1) &gt; TIME(9,45,0), "LATE", "OK")))</f>
        <v>OK</v>
      </c>
      <c r="G134" s="14">
        <f t="shared" si="20"/>
        <v>0.32500000000000001</v>
      </c>
      <c r="H134" s="8" t="str">
        <f t="shared" si="19"/>
        <v>NO OT</v>
      </c>
    </row>
    <row r="135" spans="1:9" x14ac:dyDescent="0.25">
      <c r="A135" s="3" t="s">
        <v>71</v>
      </c>
      <c r="B135" s="7">
        <v>46032</v>
      </c>
      <c r="C135" s="7" t="str">
        <f t="shared" si="18"/>
        <v>Saturday</v>
      </c>
      <c r="D135" s="9" t="s">
        <v>87</v>
      </c>
      <c r="E135" s="9" t="s">
        <v>33</v>
      </c>
      <c r="F135" s="6" t="str">
        <f t="shared" si="21"/>
        <v>LATE</v>
      </c>
      <c r="G135" s="14">
        <f t="shared" si="20"/>
        <v>0.3166666666666666</v>
      </c>
      <c r="H135" s="8" t="str">
        <f t="shared" si="19"/>
        <v>NO OT</v>
      </c>
    </row>
    <row r="136" spans="1:9" x14ac:dyDescent="0.25">
      <c r="A136" s="3" t="s">
        <v>71</v>
      </c>
      <c r="B136" s="7">
        <v>46033</v>
      </c>
      <c r="C136" s="56" t="str">
        <f t="shared" si="18"/>
        <v>Sunday</v>
      </c>
      <c r="D136" s="56"/>
      <c r="E136" s="56"/>
      <c r="F136" s="56"/>
      <c r="G136" s="56"/>
      <c r="H136" s="56"/>
    </row>
    <row r="137" spans="1:9" x14ac:dyDescent="0.25">
      <c r="A137" s="3" t="s">
        <v>71</v>
      </c>
      <c r="B137" s="7">
        <v>46034</v>
      </c>
      <c r="C137" s="7" t="str">
        <f t="shared" si="18"/>
        <v>Monday</v>
      </c>
      <c r="D137" s="9" t="s">
        <v>100</v>
      </c>
      <c r="E137" s="9" t="s">
        <v>90</v>
      </c>
      <c r="F137" s="6" t="str">
        <f t="shared" si="21"/>
        <v>LATE</v>
      </c>
      <c r="G137" s="14">
        <f t="shared" si="20"/>
        <v>0.31388888888888888</v>
      </c>
      <c r="H137" s="8" t="str">
        <f t="shared" si="19"/>
        <v>NO OT</v>
      </c>
    </row>
    <row r="138" spans="1:9" x14ac:dyDescent="0.25">
      <c r="A138" s="3" t="s">
        <v>71</v>
      </c>
      <c r="B138" s="7">
        <v>46035</v>
      </c>
      <c r="C138" s="7" t="str">
        <f t="shared" si="18"/>
        <v>Tuesday</v>
      </c>
      <c r="D138" s="9" t="s">
        <v>101</v>
      </c>
      <c r="E138" s="9" t="s">
        <v>57</v>
      </c>
      <c r="F138" s="6" t="str">
        <f t="shared" si="21"/>
        <v>LATE</v>
      </c>
      <c r="G138" s="14">
        <f t="shared" si="20"/>
        <v>0.3041666666666667</v>
      </c>
      <c r="H138" s="8" t="str">
        <f t="shared" si="19"/>
        <v>NO OT</v>
      </c>
    </row>
    <row r="139" spans="1:9" x14ac:dyDescent="0.25">
      <c r="A139" s="3" t="s">
        <v>71</v>
      </c>
      <c r="B139" s="7">
        <v>46036</v>
      </c>
      <c r="C139" s="7" t="str">
        <f t="shared" si="18"/>
        <v>Wednesday</v>
      </c>
      <c r="D139" s="9" t="s">
        <v>12</v>
      </c>
      <c r="E139" s="9" t="s">
        <v>12</v>
      </c>
      <c r="F139" s="57" t="s">
        <v>160</v>
      </c>
      <c r="G139" s="57"/>
      <c r="H139" s="57"/>
      <c r="I139" s="3">
        <v>1</v>
      </c>
    </row>
    <row r="140" spans="1:9" x14ac:dyDescent="0.25">
      <c r="A140" s="3" t="s">
        <v>71</v>
      </c>
      <c r="B140" s="7">
        <v>46037</v>
      </c>
      <c r="C140" s="7" t="str">
        <f t="shared" si="18"/>
        <v>Thursday</v>
      </c>
      <c r="D140" s="9" t="s">
        <v>102</v>
      </c>
      <c r="E140" s="9" t="s">
        <v>33</v>
      </c>
      <c r="F140" s="6" t="str">
        <f t="shared" si="21"/>
        <v>OK</v>
      </c>
      <c r="G140" s="14">
        <f t="shared" si="20"/>
        <v>0.31874999999999992</v>
      </c>
      <c r="H140" s="8" t="str">
        <f t="shared" si="19"/>
        <v>NO OT</v>
      </c>
    </row>
    <row r="141" spans="1:9" x14ac:dyDescent="0.25">
      <c r="A141" s="3" t="s">
        <v>71</v>
      </c>
      <c r="B141" s="7">
        <v>46038</v>
      </c>
      <c r="C141" s="7" t="str">
        <f t="shared" si="18"/>
        <v>Friday</v>
      </c>
      <c r="D141" s="9" t="s">
        <v>88</v>
      </c>
      <c r="E141" s="9" t="s">
        <v>75</v>
      </c>
      <c r="F141" s="6" t="str">
        <f t="shared" si="21"/>
        <v>LATE</v>
      </c>
      <c r="G141" s="14">
        <f t="shared" si="20"/>
        <v>0.3125</v>
      </c>
      <c r="H141" s="8" t="str">
        <f t="shared" si="19"/>
        <v>NO OT</v>
      </c>
    </row>
    <row r="142" spans="1:9" x14ac:dyDescent="0.25">
      <c r="A142" s="3" t="s">
        <v>71</v>
      </c>
      <c r="B142" s="7">
        <v>46039</v>
      </c>
      <c r="C142" s="7" t="str">
        <f t="shared" si="18"/>
        <v>Saturday</v>
      </c>
      <c r="D142" s="9" t="s">
        <v>103</v>
      </c>
      <c r="E142" s="9" t="s">
        <v>12</v>
      </c>
      <c r="F142" s="6" t="str">
        <f t="shared" si="21"/>
        <v>LATE</v>
      </c>
      <c r="G142" s="14">
        <f t="shared" si="20"/>
        <v>-0.45277777777777778</v>
      </c>
      <c r="H142" s="8" t="str">
        <f t="shared" si="19"/>
        <v>NO OT</v>
      </c>
    </row>
    <row r="143" spans="1:9" x14ac:dyDescent="0.25">
      <c r="A143" s="3" t="s">
        <v>71</v>
      </c>
      <c r="B143" s="7">
        <v>46040</v>
      </c>
      <c r="C143" s="56" t="str">
        <f t="shared" si="18"/>
        <v>Sunday</v>
      </c>
      <c r="D143" s="56"/>
      <c r="E143" s="56"/>
      <c r="F143" s="56"/>
      <c r="G143" s="56"/>
      <c r="H143" s="56"/>
    </row>
    <row r="144" spans="1:9" x14ac:dyDescent="0.25">
      <c r="A144" s="3" t="s">
        <v>71</v>
      </c>
      <c r="B144" s="7">
        <v>46041</v>
      </c>
      <c r="C144" s="7" t="str">
        <f t="shared" si="18"/>
        <v>Monday</v>
      </c>
      <c r="D144" s="9" t="s">
        <v>26</v>
      </c>
      <c r="E144" s="9" t="s">
        <v>104</v>
      </c>
      <c r="F144" s="6" t="str">
        <f t="shared" si="21"/>
        <v>LATE</v>
      </c>
      <c r="G144" s="14">
        <f t="shared" si="20"/>
        <v>8.3333333333333343E-2</v>
      </c>
      <c r="H144" s="8" t="str">
        <f t="shared" si="19"/>
        <v>NO OT</v>
      </c>
    </row>
    <row r="145" spans="1:9" x14ac:dyDescent="0.25">
      <c r="A145" s="3" t="s">
        <v>71</v>
      </c>
      <c r="B145" s="7">
        <v>46042</v>
      </c>
      <c r="C145" s="7" t="str">
        <f t="shared" si="18"/>
        <v>Tuesday</v>
      </c>
      <c r="D145" s="9" t="s">
        <v>91</v>
      </c>
      <c r="E145" s="9" t="s">
        <v>46</v>
      </c>
      <c r="F145" s="6" t="str">
        <f t="shared" si="21"/>
        <v>LATE</v>
      </c>
      <c r="G145" s="14">
        <f t="shared" si="20"/>
        <v>0.31458333333333333</v>
      </c>
      <c r="H145" s="8" t="str">
        <f t="shared" si="19"/>
        <v>NO OT</v>
      </c>
    </row>
    <row r="146" spans="1:9" x14ac:dyDescent="0.25">
      <c r="A146" s="3" t="s">
        <v>71</v>
      </c>
      <c r="B146" s="7">
        <v>46043</v>
      </c>
      <c r="C146" s="7" t="str">
        <f t="shared" si="18"/>
        <v>Wednesday</v>
      </c>
      <c r="D146" s="9" t="s">
        <v>28</v>
      </c>
      <c r="E146" s="9" t="s">
        <v>105</v>
      </c>
      <c r="F146" s="6" t="str">
        <f t="shared" si="21"/>
        <v>LATE</v>
      </c>
      <c r="G146" s="14">
        <f t="shared" si="20"/>
        <v>0.25625000000000003</v>
      </c>
      <c r="H146" s="8" t="str">
        <f t="shared" si="19"/>
        <v>NO OT</v>
      </c>
    </row>
    <row r="147" spans="1:9" x14ac:dyDescent="0.25">
      <c r="A147" s="3" t="s">
        <v>71</v>
      </c>
      <c r="B147" s="7">
        <v>46044</v>
      </c>
      <c r="C147" s="7" t="str">
        <f t="shared" si="18"/>
        <v>Thursday</v>
      </c>
      <c r="D147" s="9" t="s">
        <v>103</v>
      </c>
      <c r="E147" s="9" t="s">
        <v>86</v>
      </c>
      <c r="F147" s="6" t="str">
        <f t="shared" si="21"/>
        <v>LATE</v>
      </c>
      <c r="G147" s="14">
        <f t="shared" si="20"/>
        <v>0.30694444444444441</v>
      </c>
      <c r="H147" s="8" t="str">
        <f t="shared" si="19"/>
        <v>NO OT</v>
      </c>
    </row>
    <row r="148" spans="1:9" x14ac:dyDescent="0.25">
      <c r="A148" s="3" t="s">
        <v>71</v>
      </c>
      <c r="B148" s="7">
        <v>46045</v>
      </c>
      <c r="C148" s="7" t="str">
        <f t="shared" si="18"/>
        <v>Friday</v>
      </c>
      <c r="D148" s="9" t="s">
        <v>103</v>
      </c>
      <c r="E148" s="9" t="s">
        <v>106</v>
      </c>
      <c r="F148" s="6" t="str">
        <f t="shared" si="21"/>
        <v>LATE</v>
      </c>
      <c r="G148" s="14">
        <f t="shared" si="20"/>
        <v>0.30972222222222218</v>
      </c>
      <c r="H148" s="8" t="str">
        <f t="shared" si="19"/>
        <v>NO OT</v>
      </c>
    </row>
    <row r="149" spans="1:9" x14ac:dyDescent="0.25">
      <c r="A149" s="3" t="s">
        <v>71</v>
      </c>
      <c r="B149" s="7">
        <v>46046</v>
      </c>
      <c r="C149" s="7" t="str">
        <f t="shared" si="18"/>
        <v>Saturday</v>
      </c>
      <c r="D149" s="9" t="s">
        <v>74</v>
      </c>
      <c r="E149" s="9" t="s">
        <v>33</v>
      </c>
      <c r="F149" s="6" t="str">
        <f t="shared" si="21"/>
        <v>OK</v>
      </c>
      <c r="G149" s="14">
        <f t="shared" si="20"/>
        <v>0.31805555555555548</v>
      </c>
      <c r="H149" s="8" t="str">
        <f t="shared" si="19"/>
        <v>NO OT</v>
      </c>
    </row>
    <row r="150" spans="1:9" x14ac:dyDescent="0.25">
      <c r="A150" s="3" t="s">
        <v>71</v>
      </c>
      <c r="B150" s="7">
        <v>46047</v>
      </c>
      <c r="C150" s="56" t="str">
        <f t="shared" si="18"/>
        <v>Sunday</v>
      </c>
      <c r="D150" s="56"/>
      <c r="E150" s="56"/>
      <c r="F150" s="56"/>
      <c r="G150" s="56"/>
      <c r="H150" s="56"/>
    </row>
    <row r="151" spans="1:9" x14ac:dyDescent="0.25">
      <c r="A151" s="3" t="s">
        <v>71</v>
      </c>
      <c r="B151" s="7">
        <v>46048</v>
      </c>
      <c r="C151" s="7" t="str">
        <f t="shared" si="18"/>
        <v>Monday</v>
      </c>
      <c r="D151" s="9" t="s">
        <v>12</v>
      </c>
      <c r="E151" s="9" t="s">
        <v>12</v>
      </c>
      <c r="F151" s="57" t="str">
        <f t="shared" ref="F151" si="22">IF(C151="Sunday", "SUNDAY", IF(OR(D151=0, D151="", D151="0:0"), "ABSENT", IF(MOD(D151,1) &gt; TIME(9,45,0), "LATE", "OK")))</f>
        <v>ABSENT</v>
      </c>
      <c r="G151" s="57"/>
      <c r="H151" s="57"/>
      <c r="I151" s="3">
        <v>2</v>
      </c>
    </row>
    <row r="152" spans="1:9" x14ac:dyDescent="0.25">
      <c r="A152" s="3" t="s">
        <v>71</v>
      </c>
      <c r="B152" s="7">
        <v>46049</v>
      </c>
      <c r="C152" s="7" t="str">
        <f t="shared" si="18"/>
        <v>Tuesday</v>
      </c>
      <c r="D152" s="9" t="s">
        <v>107</v>
      </c>
      <c r="E152" s="9" t="s">
        <v>108</v>
      </c>
      <c r="F152" s="6" t="str">
        <f t="shared" si="21"/>
        <v>LATE</v>
      </c>
      <c r="G152" s="14">
        <f t="shared" si="20"/>
        <v>0.3298611111111111</v>
      </c>
      <c r="H152" s="8" t="str">
        <f t="shared" si="19"/>
        <v>NO OT</v>
      </c>
    </row>
    <row r="153" spans="1:9" x14ac:dyDescent="0.25">
      <c r="A153" s="3" t="s">
        <v>71</v>
      </c>
      <c r="B153" s="7">
        <v>46050</v>
      </c>
      <c r="C153" s="7" t="str">
        <f t="shared" si="18"/>
        <v>Wednesday</v>
      </c>
      <c r="D153" s="9" t="s">
        <v>102</v>
      </c>
      <c r="E153" s="9" t="s">
        <v>57</v>
      </c>
      <c r="F153" s="6" t="str">
        <f t="shared" si="21"/>
        <v>OK</v>
      </c>
      <c r="G153" s="14">
        <f t="shared" si="20"/>
        <v>0.3215277777777778</v>
      </c>
      <c r="H153" s="8" t="str">
        <f t="shared" si="19"/>
        <v>NO OT</v>
      </c>
    </row>
    <row r="154" spans="1:9" x14ac:dyDescent="0.25">
      <c r="A154" s="3" t="s">
        <v>71</v>
      </c>
      <c r="B154" s="7">
        <v>46051</v>
      </c>
      <c r="C154" s="7" t="str">
        <f t="shared" si="18"/>
        <v>Thursday</v>
      </c>
      <c r="D154" s="9" t="s">
        <v>107</v>
      </c>
      <c r="E154" s="9" t="s">
        <v>38</v>
      </c>
      <c r="F154" s="6" t="str">
        <f t="shared" si="21"/>
        <v>LATE</v>
      </c>
      <c r="G154" s="14">
        <f t="shared" si="20"/>
        <v>0.32430555555555557</v>
      </c>
      <c r="H154" s="8" t="str">
        <f t="shared" si="19"/>
        <v>NO OT</v>
      </c>
    </row>
    <row r="155" spans="1:9" x14ac:dyDescent="0.25">
      <c r="A155" s="3" t="s">
        <v>71</v>
      </c>
      <c r="B155" s="7">
        <v>46052</v>
      </c>
      <c r="C155" s="7" t="str">
        <f t="shared" si="18"/>
        <v>Friday</v>
      </c>
      <c r="D155" s="9" t="s">
        <v>26</v>
      </c>
      <c r="E155" s="9" t="s">
        <v>33</v>
      </c>
      <c r="F155" s="6" t="str">
        <f t="shared" si="21"/>
        <v>LATE</v>
      </c>
      <c r="G155" s="14">
        <f t="shared" si="20"/>
        <v>0.31319444444444439</v>
      </c>
      <c r="H155" s="8" t="str">
        <f t="shared" si="19"/>
        <v>NO OT</v>
      </c>
    </row>
    <row r="156" spans="1:9" x14ac:dyDescent="0.25">
      <c r="A156" s="3" t="s">
        <v>71</v>
      </c>
      <c r="B156" s="7">
        <v>46053</v>
      </c>
      <c r="C156" s="7" t="str">
        <f t="shared" si="18"/>
        <v>Saturday</v>
      </c>
      <c r="D156" s="9" t="s">
        <v>28</v>
      </c>
      <c r="E156" s="9" t="s">
        <v>34</v>
      </c>
      <c r="F156" s="6" t="str">
        <f t="shared" si="21"/>
        <v>LATE</v>
      </c>
      <c r="G156" s="14">
        <f t="shared" si="20"/>
        <v>0.31597222222222227</v>
      </c>
      <c r="H156" s="8" t="str">
        <f t="shared" si="19"/>
        <v>NO OT</v>
      </c>
    </row>
    <row r="157" spans="1:9" x14ac:dyDescent="0.25">
      <c r="A157" s="9" t="s">
        <v>109</v>
      </c>
      <c r="B157" s="7">
        <v>46023</v>
      </c>
      <c r="C157" s="7" t="str">
        <f t="shared" si="18"/>
        <v>Thursday</v>
      </c>
      <c r="D157" s="9" t="s">
        <v>76</v>
      </c>
      <c r="E157" s="9" t="s">
        <v>148</v>
      </c>
      <c r="F157" s="6" t="str">
        <f t="shared" si="21"/>
        <v>OK</v>
      </c>
      <c r="G157" s="14">
        <f t="shared" si="20"/>
        <v>0.37430555555555556</v>
      </c>
      <c r="H157" s="8" t="str">
        <f t="shared" si="19"/>
        <v>00:21</v>
      </c>
    </row>
    <row r="158" spans="1:9" x14ac:dyDescent="0.25">
      <c r="A158" s="9" t="s">
        <v>109</v>
      </c>
      <c r="B158" s="7">
        <v>46024</v>
      </c>
      <c r="C158" s="7" t="str">
        <f t="shared" si="18"/>
        <v>Friday</v>
      </c>
      <c r="D158" s="9" t="s">
        <v>15</v>
      </c>
      <c r="E158" s="9" t="s">
        <v>149</v>
      </c>
      <c r="F158" s="6" t="str">
        <f t="shared" si="21"/>
        <v>OK</v>
      </c>
      <c r="G158" s="14">
        <f t="shared" si="20"/>
        <v>8.2638888888888901E-2</v>
      </c>
      <c r="H158" s="8" t="str">
        <f t="shared" si="19"/>
        <v>NO OT</v>
      </c>
    </row>
    <row r="159" spans="1:9" x14ac:dyDescent="0.25">
      <c r="A159" s="9" t="s">
        <v>109</v>
      </c>
      <c r="B159" s="7">
        <v>46025</v>
      </c>
      <c r="C159" s="7" t="str">
        <f t="shared" si="18"/>
        <v>Saturday</v>
      </c>
      <c r="D159" s="9" t="s">
        <v>76</v>
      </c>
      <c r="E159" s="9" t="s">
        <v>150</v>
      </c>
      <c r="F159" s="6" t="str">
        <f t="shared" si="21"/>
        <v>OK</v>
      </c>
      <c r="G159" s="14">
        <f t="shared" si="20"/>
        <v>0.32291666666666663</v>
      </c>
      <c r="H159" s="8" t="str">
        <f t="shared" si="19"/>
        <v>NO OT</v>
      </c>
    </row>
    <row r="160" spans="1:9" x14ac:dyDescent="0.25">
      <c r="A160" s="9" t="s">
        <v>109</v>
      </c>
      <c r="B160" s="7">
        <v>46026</v>
      </c>
      <c r="C160" s="56" t="str">
        <f t="shared" si="18"/>
        <v>Sunday</v>
      </c>
      <c r="D160" s="56"/>
      <c r="E160" s="56"/>
      <c r="F160" s="56"/>
      <c r="G160" s="56"/>
      <c r="H160" s="56"/>
    </row>
    <row r="161" spans="1:9" x14ac:dyDescent="0.25">
      <c r="A161" s="9" t="s">
        <v>109</v>
      </c>
      <c r="B161" s="7">
        <v>46027</v>
      </c>
      <c r="C161" s="7" t="str">
        <f t="shared" si="18"/>
        <v>Monday</v>
      </c>
      <c r="D161" s="9" t="s">
        <v>92</v>
      </c>
      <c r="E161" s="9" t="s">
        <v>151</v>
      </c>
      <c r="F161" s="6" t="str">
        <f t="shared" si="21"/>
        <v>OK</v>
      </c>
      <c r="G161" s="14">
        <f t="shared" si="20"/>
        <v>0.31458333333333327</v>
      </c>
      <c r="H161" s="8" t="str">
        <f t="shared" si="19"/>
        <v>NO OT</v>
      </c>
    </row>
    <row r="162" spans="1:9" x14ac:dyDescent="0.25">
      <c r="A162" s="9" t="s">
        <v>109</v>
      </c>
      <c r="B162" s="7">
        <v>46028</v>
      </c>
      <c r="C162" s="7" t="str">
        <f t="shared" si="18"/>
        <v>Tuesday</v>
      </c>
      <c r="D162" s="9" t="s">
        <v>63</v>
      </c>
      <c r="E162" s="9" t="s">
        <v>34</v>
      </c>
      <c r="F162" s="6" t="str">
        <f t="shared" si="21"/>
        <v>OK</v>
      </c>
      <c r="G162" s="14">
        <f t="shared" si="20"/>
        <v>0.32777777777777783</v>
      </c>
      <c r="H162" s="8" t="str">
        <f t="shared" si="19"/>
        <v>NO OT</v>
      </c>
    </row>
    <row r="163" spans="1:9" x14ac:dyDescent="0.25">
      <c r="A163" s="9" t="s">
        <v>109</v>
      </c>
      <c r="B163" s="7">
        <v>46029</v>
      </c>
      <c r="C163" s="7" t="str">
        <f t="shared" si="18"/>
        <v>Wednesday</v>
      </c>
      <c r="D163" s="9" t="s">
        <v>30</v>
      </c>
      <c r="E163" s="9" t="s">
        <v>125</v>
      </c>
      <c r="F163" s="6" t="str">
        <f t="shared" si="21"/>
        <v>OK</v>
      </c>
      <c r="G163" s="14">
        <f t="shared" si="20"/>
        <v>0.32777777777777778</v>
      </c>
      <c r="H163" s="8" t="str">
        <f t="shared" si="19"/>
        <v>NO OT</v>
      </c>
    </row>
    <row r="164" spans="1:9" x14ac:dyDescent="0.25">
      <c r="A164" s="9" t="s">
        <v>109</v>
      </c>
      <c r="B164" s="7">
        <v>46030</v>
      </c>
      <c r="C164" s="7" t="str">
        <f t="shared" si="18"/>
        <v>Thursday</v>
      </c>
      <c r="D164" s="9" t="s">
        <v>52</v>
      </c>
      <c r="E164" s="9" t="s">
        <v>12</v>
      </c>
      <c r="F164" s="6" t="str">
        <f t="shared" si="21"/>
        <v>OK</v>
      </c>
      <c r="G164" s="14">
        <f t="shared" si="20"/>
        <v>-0.43333333333333335</v>
      </c>
      <c r="H164" s="8" t="str">
        <f t="shared" si="19"/>
        <v>NO OT</v>
      </c>
    </row>
    <row r="165" spans="1:9" x14ac:dyDescent="0.25">
      <c r="A165" s="9" t="s">
        <v>109</v>
      </c>
      <c r="B165" s="7">
        <v>46031</v>
      </c>
      <c r="C165" s="7" t="str">
        <f t="shared" si="18"/>
        <v>Friday</v>
      </c>
      <c r="D165" s="9" t="s">
        <v>152</v>
      </c>
      <c r="E165" s="9" t="s">
        <v>153</v>
      </c>
      <c r="F165" s="6" t="str">
        <f t="shared" si="21"/>
        <v>LATE</v>
      </c>
      <c r="G165" s="14">
        <f t="shared" si="20"/>
        <v>0.33541666666666664</v>
      </c>
      <c r="H165" s="8" t="str">
        <f t="shared" si="19"/>
        <v>NO OT</v>
      </c>
    </row>
    <row r="166" spans="1:9" x14ac:dyDescent="0.25">
      <c r="A166" s="9" t="s">
        <v>109</v>
      </c>
      <c r="B166" s="7">
        <v>46032</v>
      </c>
      <c r="C166" s="7" t="str">
        <f t="shared" si="18"/>
        <v>Saturday</v>
      </c>
      <c r="D166" s="9" t="s">
        <v>25</v>
      </c>
      <c r="E166" s="9" t="s">
        <v>154</v>
      </c>
      <c r="F166" s="6" t="str">
        <f t="shared" si="21"/>
        <v>OK</v>
      </c>
      <c r="G166" s="14">
        <f t="shared" si="20"/>
        <v>0.30763888888888885</v>
      </c>
      <c r="H166" s="8" t="str">
        <f t="shared" si="19"/>
        <v>NO OT</v>
      </c>
    </row>
    <row r="167" spans="1:9" x14ac:dyDescent="0.25">
      <c r="A167" s="9" t="s">
        <v>109</v>
      </c>
      <c r="B167" s="7">
        <v>46033</v>
      </c>
      <c r="C167" s="56" t="str">
        <f t="shared" si="18"/>
        <v>Sunday</v>
      </c>
      <c r="D167" s="56"/>
      <c r="E167" s="56"/>
      <c r="F167" s="56"/>
      <c r="G167" s="56"/>
      <c r="H167" s="56"/>
    </row>
    <row r="168" spans="1:9" x14ac:dyDescent="0.25">
      <c r="A168" s="9" t="s">
        <v>109</v>
      </c>
      <c r="B168" s="7">
        <v>46034</v>
      </c>
      <c r="C168" s="7" t="str">
        <f t="shared" si="18"/>
        <v>Monday</v>
      </c>
      <c r="D168" s="9" t="s">
        <v>64</v>
      </c>
      <c r="E168" s="9" t="s">
        <v>155</v>
      </c>
      <c r="F168" s="6" t="str">
        <f t="shared" si="21"/>
        <v>LATE</v>
      </c>
      <c r="G168" s="14">
        <f t="shared" si="20"/>
        <v>0.28402777777777771</v>
      </c>
      <c r="H168" s="8" t="str">
        <f t="shared" si="19"/>
        <v>00:02</v>
      </c>
    </row>
    <row r="169" spans="1:9" x14ac:dyDescent="0.25">
      <c r="A169" s="9" t="s">
        <v>109</v>
      </c>
      <c r="B169" s="7">
        <v>46035</v>
      </c>
      <c r="C169" s="7" t="str">
        <f t="shared" si="18"/>
        <v>Tuesday</v>
      </c>
      <c r="D169" s="9" t="s">
        <v>54</v>
      </c>
      <c r="E169" s="9" t="s">
        <v>89</v>
      </c>
      <c r="F169" s="6" t="str">
        <f t="shared" si="21"/>
        <v>LATE</v>
      </c>
      <c r="G169" s="14">
        <f t="shared" si="20"/>
        <v>0.31805555555555554</v>
      </c>
      <c r="H169" s="8" t="str">
        <f t="shared" si="19"/>
        <v>NO OT</v>
      </c>
    </row>
    <row r="170" spans="1:9" x14ac:dyDescent="0.25">
      <c r="A170" s="9" t="s">
        <v>109</v>
      </c>
      <c r="B170" s="7">
        <v>46036</v>
      </c>
      <c r="C170" s="7" t="str">
        <f t="shared" si="18"/>
        <v>Wednesday</v>
      </c>
      <c r="D170" s="9" t="s">
        <v>12</v>
      </c>
      <c r="E170" s="9" t="s">
        <v>12</v>
      </c>
      <c r="F170" s="57" t="s">
        <v>160</v>
      </c>
      <c r="G170" s="57"/>
      <c r="H170" s="57"/>
      <c r="I170" s="3">
        <v>1</v>
      </c>
    </row>
    <row r="171" spans="1:9" x14ac:dyDescent="0.25">
      <c r="A171" s="9" t="s">
        <v>109</v>
      </c>
      <c r="B171" s="7">
        <v>46037</v>
      </c>
      <c r="C171" s="7" t="str">
        <f t="shared" si="18"/>
        <v>Thursday</v>
      </c>
      <c r="D171" s="9" t="s">
        <v>87</v>
      </c>
      <c r="E171" s="9" t="s">
        <v>39</v>
      </c>
      <c r="F171" s="6" t="str">
        <f t="shared" si="21"/>
        <v>LATE</v>
      </c>
      <c r="G171" s="14">
        <f t="shared" si="20"/>
        <v>0.31805555555555559</v>
      </c>
      <c r="H171" s="8" t="str">
        <f t="shared" si="19"/>
        <v>NO OT</v>
      </c>
    </row>
    <row r="172" spans="1:9" x14ac:dyDescent="0.25">
      <c r="A172" s="9" t="s">
        <v>109</v>
      </c>
      <c r="B172" s="7">
        <v>46038</v>
      </c>
      <c r="C172" s="7" t="str">
        <f t="shared" si="18"/>
        <v>Friday</v>
      </c>
      <c r="D172" s="9" t="s">
        <v>156</v>
      </c>
      <c r="E172" s="9" t="s">
        <v>46</v>
      </c>
      <c r="F172" s="6" t="str">
        <f t="shared" si="21"/>
        <v>LATE</v>
      </c>
      <c r="G172" s="14">
        <f t="shared" si="20"/>
        <v>0.15138888888888888</v>
      </c>
      <c r="H172" s="8" t="str">
        <f t="shared" si="19"/>
        <v>NO OT</v>
      </c>
      <c r="I172" s="3" t="s">
        <v>159</v>
      </c>
    </row>
    <row r="173" spans="1:9" x14ac:dyDescent="0.25">
      <c r="A173" s="9" t="s">
        <v>109</v>
      </c>
      <c r="B173" s="7">
        <v>46039</v>
      </c>
      <c r="C173" s="7" t="str">
        <f t="shared" si="18"/>
        <v>Saturday</v>
      </c>
      <c r="D173" s="9" t="s">
        <v>74</v>
      </c>
      <c r="E173" s="9" t="s">
        <v>10</v>
      </c>
      <c r="F173" s="6" t="str">
        <f t="shared" si="21"/>
        <v>OK</v>
      </c>
      <c r="G173" s="14">
        <f t="shared" si="20"/>
        <v>0.32013888888888892</v>
      </c>
      <c r="H173" s="8" t="str">
        <f t="shared" si="19"/>
        <v>NO OT</v>
      </c>
    </row>
    <row r="174" spans="1:9" x14ac:dyDescent="0.25">
      <c r="A174" s="9" t="s">
        <v>109</v>
      </c>
      <c r="B174" s="7">
        <v>46040</v>
      </c>
      <c r="C174" s="56" t="str">
        <f t="shared" si="18"/>
        <v>Sunday</v>
      </c>
      <c r="D174" s="56"/>
      <c r="E174" s="56"/>
      <c r="F174" s="56"/>
      <c r="G174" s="56"/>
      <c r="H174" s="56"/>
    </row>
    <row r="175" spans="1:9" x14ac:dyDescent="0.25">
      <c r="A175" s="9" t="s">
        <v>109</v>
      </c>
      <c r="B175" s="7">
        <v>46041</v>
      </c>
      <c r="C175" s="7" t="str">
        <f t="shared" si="18"/>
        <v>Monday</v>
      </c>
      <c r="D175" s="9" t="s">
        <v>24</v>
      </c>
      <c r="E175" s="9" t="s">
        <v>35</v>
      </c>
      <c r="F175" s="6" t="str">
        <f t="shared" si="21"/>
        <v>OK</v>
      </c>
      <c r="G175" s="14">
        <f t="shared" si="20"/>
        <v>0.33611111111111108</v>
      </c>
      <c r="H175" s="8" t="str">
        <f t="shared" si="19"/>
        <v>NO OT</v>
      </c>
    </row>
    <row r="176" spans="1:9" x14ac:dyDescent="0.25">
      <c r="A176" s="9" t="s">
        <v>109</v>
      </c>
      <c r="B176" s="7">
        <v>46042</v>
      </c>
      <c r="C176" s="7" t="str">
        <f t="shared" si="18"/>
        <v>Tuesday</v>
      </c>
      <c r="D176" s="9" t="s">
        <v>107</v>
      </c>
      <c r="E176" s="9" t="s">
        <v>46</v>
      </c>
      <c r="F176" s="6" t="str">
        <f t="shared" si="21"/>
        <v>LATE</v>
      </c>
      <c r="G176" s="14">
        <f t="shared" si="20"/>
        <v>0.31805555555555559</v>
      </c>
      <c r="H176" s="8" t="str">
        <f t="shared" si="19"/>
        <v>NO OT</v>
      </c>
    </row>
    <row r="177" spans="1:9" x14ac:dyDescent="0.25">
      <c r="A177" s="9" t="s">
        <v>109</v>
      </c>
      <c r="B177" s="7">
        <v>46043</v>
      </c>
      <c r="C177" s="7" t="str">
        <f t="shared" si="18"/>
        <v>Wednesday</v>
      </c>
      <c r="D177" s="9" t="s">
        <v>15</v>
      </c>
      <c r="E177" s="9" t="s">
        <v>33</v>
      </c>
      <c r="F177" s="6" t="str">
        <f t="shared" si="21"/>
        <v>OK</v>
      </c>
      <c r="G177" s="14">
        <f t="shared" si="20"/>
        <v>0.3249999999999999</v>
      </c>
      <c r="H177" s="8" t="str">
        <f t="shared" si="19"/>
        <v>NO OT</v>
      </c>
    </row>
    <row r="178" spans="1:9" x14ac:dyDescent="0.25">
      <c r="A178" s="9" t="s">
        <v>109</v>
      </c>
      <c r="B178" s="7">
        <v>46044</v>
      </c>
      <c r="C178" s="7" t="str">
        <f t="shared" si="18"/>
        <v>Thursday</v>
      </c>
      <c r="D178" s="9" t="s">
        <v>87</v>
      </c>
      <c r="E178" s="9" t="s">
        <v>77</v>
      </c>
      <c r="F178" s="6" t="str">
        <f t="shared" si="21"/>
        <v>LATE</v>
      </c>
      <c r="G178" s="14">
        <f t="shared" si="20"/>
        <v>0.31458333333333327</v>
      </c>
      <c r="H178" s="8" t="str">
        <f t="shared" si="19"/>
        <v>NO OT</v>
      </c>
    </row>
    <row r="179" spans="1:9" x14ac:dyDescent="0.25">
      <c r="A179" s="9" t="s">
        <v>109</v>
      </c>
      <c r="B179" s="7">
        <v>46045</v>
      </c>
      <c r="C179" s="7" t="str">
        <f t="shared" si="18"/>
        <v>Friday</v>
      </c>
      <c r="D179" s="9" t="s">
        <v>61</v>
      </c>
      <c r="E179" s="9" t="s">
        <v>157</v>
      </c>
      <c r="F179" s="6" t="str">
        <f t="shared" si="21"/>
        <v>OK</v>
      </c>
      <c r="G179" s="14">
        <f t="shared" si="20"/>
        <v>0.29652777777777778</v>
      </c>
      <c r="H179" s="8" t="str">
        <f t="shared" si="19"/>
        <v>NO OT</v>
      </c>
    </row>
    <row r="180" spans="1:9" x14ac:dyDescent="0.25">
      <c r="A180" s="9" t="s">
        <v>109</v>
      </c>
      <c r="B180" s="7">
        <v>46046</v>
      </c>
      <c r="C180" s="7" t="str">
        <f t="shared" si="18"/>
        <v>Saturday</v>
      </c>
      <c r="D180" s="9" t="s">
        <v>24</v>
      </c>
      <c r="E180" s="9" t="s">
        <v>8</v>
      </c>
      <c r="F180" s="6" t="str">
        <f t="shared" si="21"/>
        <v>OK</v>
      </c>
      <c r="G180" s="14">
        <f t="shared" si="20"/>
        <v>0.33958333333333329</v>
      </c>
      <c r="H180" s="8" t="str">
        <f t="shared" si="19"/>
        <v>NO OT</v>
      </c>
    </row>
    <row r="181" spans="1:9" x14ac:dyDescent="0.25">
      <c r="A181" s="9" t="s">
        <v>109</v>
      </c>
      <c r="B181" s="7">
        <v>46047</v>
      </c>
      <c r="C181" s="56" t="str">
        <f t="shared" si="18"/>
        <v>Sunday</v>
      </c>
      <c r="D181" s="56"/>
      <c r="E181" s="56"/>
      <c r="F181" s="56"/>
      <c r="G181" s="56"/>
      <c r="H181" s="56"/>
    </row>
    <row r="182" spans="1:9" x14ac:dyDescent="0.25">
      <c r="A182" s="9" t="s">
        <v>109</v>
      </c>
      <c r="B182" s="7">
        <v>46048</v>
      </c>
      <c r="C182" s="7" t="str">
        <f t="shared" si="18"/>
        <v>Monday</v>
      </c>
      <c r="D182" s="9" t="s">
        <v>158</v>
      </c>
      <c r="E182" s="9" t="s">
        <v>38</v>
      </c>
      <c r="F182" s="6" t="str">
        <f t="shared" si="21"/>
        <v>LATE</v>
      </c>
      <c r="G182" s="14">
        <f t="shared" si="20"/>
        <v>0.27847222222222223</v>
      </c>
      <c r="H182" s="8" t="str">
        <f t="shared" si="19"/>
        <v>NO OT</v>
      </c>
    </row>
    <row r="183" spans="1:9" x14ac:dyDescent="0.25">
      <c r="A183" s="9" t="s">
        <v>109</v>
      </c>
      <c r="B183" s="7">
        <v>46049</v>
      </c>
      <c r="C183" s="7" t="str">
        <f t="shared" si="18"/>
        <v>Tuesday</v>
      </c>
      <c r="D183" s="9" t="s">
        <v>152</v>
      </c>
      <c r="E183" s="9" t="s">
        <v>55</v>
      </c>
      <c r="F183" s="6" t="str">
        <f t="shared" si="21"/>
        <v>LATE</v>
      </c>
      <c r="G183" s="14">
        <f t="shared" si="20"/>
        <v>0.31249999999999994</v>
      </c>
      <c r="H183" s="8" t="str">
        <f t="shared" si="19"/>
        <v>NO OT</v>
      </c>
    </row>
    <row r="184" spans="1:9" x14ac:dyDescent="0.25">
      <c r="A184" s="9" t="s">
        <v>109</v>
      </c>
      <c r="B184" s="7">
        <v>46050</v>
      </c>
      <c r="C184" s="7" t="str">
        <f t="shared" si="18"/>
        <v>Wednesday</v>
      </c>
      <c r="D184" s="9" t="s">
        <v>30</v>
      </c>
      <c r="E184" s="9" t="s">
        <v>33</v>
      </c>
      <c r="F184" s="6" t="str">
        <f t="shared" si="21"/>
        <v>OK</v>
      </c>
      <c r="G184" s="14">
        <f t="shared" si="20"/>
        <v>0.31736111111111104</v>
      </c>
      <c r="H184" s="8" t="str">
        <f t="shared" si="19"/>
        <v>NO OT</v>
      </c>
    </row>
    <row r="185" spans="1:9" x14ac:dyDescent="0.25">
      <c r="A185" s="9" t="s">
        <v>109</v>
      </c>
      <c r="B185" s="7">
        <v>46051</v>
      </c>
      <c r="C185" s="7" t="str">
        <f t="shared" si="18"/>
        <v>Thursday</v>
      </c>
      <c r="D185" s="9" t="s">
        <v>50</v>
      </c>
      <c r="E185" s="9" t="s">
        <v>45</v>
      </c>
      <c r="F185" s="6" t="str">
        <f t="shared" si="21"/>
        <v>OK</v>
      </c>
      <c r="G185" s="14">
        <f t="shared" si="20"/>
        <v>0.34583333333333333</v>
      </c>
      <c r="H185" s="8" t="str">
        <f t="shared" si="19"/>
        <v>NO OT</v>
      </c>
    </row>
    <row r="186" spans="1:9" x14ac:dyDescent="0.25">
      <c r="A186" s="9" t="s">
        <v>109</v>
      </c>
      <c r="B186" s="7">
        <v>46052</v>
      </c>
      <c r="C186" s="7" t="str">
        <f t="shared" si="18"/>
        <v>Friday</v>
      </c>
      <c r="D186" s="9" t="s">
        <v>103</v>
      </c>
      <c r="E186" s="9" t="s">
        <v>60</v>
      </c>
      <c r="F186" s="6" t="str">
        <f t="shared" si="21"/>
        <v>LATE</v>
      </c>
      <c r="G186" s="14">
        <f t="shared" si="20"/>
        <v>0.32083333333333336</v>
      </c>
      <c r="H186" s="8" t="str">
        <f t="shared" si="19"/>
        <v>NO OT</v>
      </c>
    </row>
    <row r="187" spans="1:9" x14ac:dyDescent="0.25">
      <c r="A187" s="9" t="s">
        <v>109</v>
      </c>
      <c r="B187" s="7">
        <v>46053</v>
      </c>
      <c r="C187" s="7" t="str">
        <f t="shared" si="18"/>
        <v>Saturday</v>
      </c>
      <c r="D187" s="9" t="s">
        <v>17</v>
      </c>
      <c r="E187" s="9" t="s">
        <v>36</v>
      </c>
      <c r="F187" s="6" t="str">
        <f t="shared" si="21"/>
        <v>OK</v>
      </c>
      <c r="G187" s="14">
        <f t="shared" si="20"/>
        <v>0.32430555555555557</v>
      </c>
      <c r="H187" s="8" t="str">
        <f t="shared" si="19"/>
        <v>NO OT</v>
      </c>
    </row>
    <row r="188" spans="1:9" x14ac:dyDescent="0.25">
      <c r="A188" s="9" t="s">
        <v>110</v>
      </c>
      <c r="B188" s="7">
        <v>46023</v>
      </c>
      <c r="C188" s="7" t="str">
        <f t="shared" si="18"/>
        <v>Thursday</v>
      </c>
      <c r="D188" s="9" t="s">
        <v>27</v>
      </c>
      <c r="E188" s="9" t="s">
        <v>12</v>
      </c>
      <c r="F188" s="6" t="str">
        <f t="shared" si="21"/>
        <v>LATE</v>
      </c>
      <c r="G188" s="14">
        <f t="shared" si="20"/>
        <v>-0.46527777777777779</v>
      </c>
      <c r="H188" s="8" t="str">
        <f t="shared" si="19"/>
        <v>NO OT</v>
      </c>
    </row>
    <row r="189" spans="1:9" x14ac:dyDescent="0.25">
      <c r="A189" s="9" t="s">
        <v>110</v>
      </c>
      <c r="B189" s="7">
        <v>46024</v>
      </c>
      <c r="C189" s="7" t="str">
        <f t="shared" si="18"/>
        <v>Friday</v>
      </c>
      <c r="D189" s="9" t="s">
        <v>24</v>
      </c>
      <c r="E189" s="9" t="s">
        <v>36</v>
      </c>
      <c r="F189" s="6" t="str">
        <f t="shared" si="21"/>
        <v>OK</v>
      </c>
      <c r="G189" s="14">
        <f t="shared" si="20"/>
        <v>0.3263888888888889</v>
      </c>
      <c r="H189" s="8" t="str">
        <f t="shared" si="19"/>
        <v>NO OT</v>
      </c>
    </row>
    <row r="190" spans="1:9" x14ac:dyDescent="0.25">
      <c r="A190" s="9" t="s">
        <v>110</v>
      </c>
      <c r="B190" s="7">
        <v>46025</v>
      </c>
      <c r="C190" s="7" t="str">
        <f t="shared" si="18"/>
        <v>Saturday</v>
      </c>
      <c r="D190" s="9" t="s">
        <v>138</v>
      </c>
      <c r="E190" s="9" t="s">
        <v>139</v>
      </c>
      <c r="F190" s="6" t="str">
        <f t="shared" si="21"/>
        <v>LATE</v>
      </c>
      <c r="G190" s="14">
        <f t="shared" si="20"/>
        <v>0.24930555555555564</v>
      </c>
      <c r="H190" s="8" t="str">
        <f t="shared" si="19"/>
        <v>NO OT</v>
      </c>
      <c r="I190" s="3" t="s">
        <v>159</v>
      </c>
    </row>
    <row r="191" spans="1:9" x14ac:dyDescent="0.25">
      <c r="A191" s="9" t="s">
        <v>110</v>
      </c>
      <c r="B191" s="7">
        <v>46026</v>
      </c>
      <c r="C191" s="56" t="str">
        <f t="shared" si="18"/>
        <v>Sunday</v>
      </c>
      <c r="D191" s="56"/>
      <c r="E191" s="56"/>
      <c r="F191" s="56"/>
      <c r="G191" s="56"/>
      <c r="H191" s="56"/>
    </row>
    <row r="192" spans="1:9" x14ac:dyDescent="0.25">
      <c r="A192" s="9" t="s">
        <v>110</v>
      </c>
      <c r="B192" s="7">
        <v>46027</v>
      </c>
      <c r="C192" s="7" t="str">
        <f t="shared" si="18"/>
        <v>Monday</v>
      </c>
      <c r="D192" s="9" t="s">
        <v>12</v>
      </c>
      <c r="E192" s="9" t="s">
        <v>12</v>
      </c>
      <c r="F192" s="57" t="str">
        <f t="shared" ref="F192" si="23">IF(C192="Sunday", "SUNDAY", IF(OR(D192=0, D192="", D192="0:0"), "ABSENT", IF(MOD(D192,1) &gt; TIME(9,45,0), "LATE", "OK")))</f>
        <v>ABSENT</v>
      </c>
      <c r="G192" s="57"/>
      <c r="H192" s="57"/>
      <c r="I192" s="3">
        <v>1</v>
      </c>
    </row>
    <row r="193" spans="1:9" x14ac:dyDescent="0.25">
      <c r="A193" s="9" t="s">
        <v>110</v>
      </c>
      <c r="B193" s="7">
        <v>46028</v>
      </c>
      <c r="C193" s="7" t="str">
        <f t="shared" si="18"/>
        <v>Tuesday</v>
      </c>
      <c r="D193" s="9" t="s">
        <v>26</v>
      </c>
      <c r="E193" s="9" t="s">
        <v>38</v>
      </c>
      <c r="F193" s="6" t="str">
        <f t="shared" si="21"/>
        <v>LATE</v>
      </c>
      <c r="G193" s="14">
        <f t="shared" si="20"/>
        <v>0.32569444444444445</v>
      </c>
      <c r="H193" s="8" t="str">
        <f t="shared" si="19"/>
        <v>NO OT</v>
      </c>
    </row>
    <row r="194" spans="1:9" x14ac:dyDescent="0.25">
      <c r="A194" s="9" t="s">
        <v>110</v>
      </c>
      <c r="B194" s="7">
        <v>46029</v>
      </c>
      <c r="C194" s="7" t="str">
        <f t="shared" si="18"/>
        <v>Wednesday</v>
      </c>
      <c r="D194" s="9" t="s">
        <v>140</v>
      </c>
      <c r="E194" s="9" t="s">
        <v>42</v>
      </c>
      <c r="F194" s="6" t="str">
        <f t="shared" si="21"/>
        <v>LATE</v>
      </c>
      <c r="G194" s="14">
        <f t="shared" si="20"/>
        <v>0.31388888888888888</v>
      </c>
      <c r="H194" s="8" t="str">
        <f t="shared" si="19"/>
        <v>NO OT</v>
      </c>
    </row>
    <row r="195" spans="1:9" x14ac:dyDescent="0.25">
      <c r="A195" s="9" t="s">
        <v>110</v>
      </c>
      <c r="B195" s="7">
        <v>46030</v>
      </c>
      <c r="C195" s="7" t="str">
        <f t="shared" ref="C195:C258" si="24">TEXT(B195, "dddd")</f>
        <v>Thursday</v>
      </c>
      <c r="D195" s="9" t="s">
        <v>141</v>
      </c>
      <c r="E195" s="9" t="s">
        <v>39</v>
      </c>
      <c r="F195" s="6" t="str">
        <f t="shared" si="21"/>
        <v>LATE</v>
      </c>
      <c r="G195" s="14">
        <f t="shared" si="20"/>
        <v>0.25694444444444448</v>
      </c>
      <c r="H195" s="8" t="str">
        <f t="shared" ref="H195:H258" si="25">IF(VALUE(E195) &gt; TIME(19,0,0), TEXT(VALUE(E195) - TIME(19,0,0), "hh:mm"), "NO OT")</f>
        <v>NO OT</v>
      </c>
    </row>
    <row r="196" spans="1:9" x14ac:dyDescent="0.25">
      <c r="A196" s="9" t="s">
        <v>110</v>
      </c>
      <c r="B196" s="7">
        <v>46031</v>
      </c>
      <c r="C196" s="7" t="str">
        <f t="shared" si="24"/>
        <v>Friday</v>
      </c>
      <c r="D196" s="9" t="s">
        <v>142</v>
      </c>
      <c r="E196" s="9" t="s">
        <v>40</v>
      </c>
      <c r="F196" s="6" t="str">
        <f t="shared" si="21"/>
        <v>LATE</v>
      </c>
      <c r="G196" s="14">
        <f t="shared" si="20"/>
        <v>0.31180555555555556</v>
      </c>
      <c r="H196" s="8" t="str">
        <f t="shared" si="25"/>
        <v>NO OT</v>
      </c>
    </row>
    <row r="197" spans="1:9" x14ac:dyDescent="0.25">
      <c r="A197" s="9" t="s">
        <v>110</v>
      </c>
      <c r="B197" s="7">
        <v>46032</v>
      </c>
      <c r="C197" s="7" t="str">
        <f t="shared" si="24"/>
        <v>Saturday</v>
      </c>
      <c r="D197" s="9" t="s">
        <v>21</v>
      </c>
      <c r="E197" s="9" t="s">
        <v>78</v>
      </c>
      <c r="F197" s="6" t="str">
        <f t="shared" si="21"/>
        <v>OK</v>
      </c>
      <c r="G197" s="14">
        <f t="shared" ref="G197:G259" si="26">IF(OR(D197=0, D197="", E197=0, E197=""), 0, (E197-D197)-TIME(1,0,0))</f>
        <v>0.34513888888888883</v>
      </c>
      <c r="H197" s="8" t="str">
        <f t="shared" si="25"/>
        <v>NO OT</v>
      </c>
    </row>
    <row r="198" spans="1:9" x14ac:dyDescent="0.25">
      <c r="A198" s="9" t="s">
        <v>110</v>
      </c>
      <c r="B198" s="7">
        <v>46033</v>
      </c>
      <c r="C198" s="56" t="str">
        <f t="shared" si="24"/>
        <v>Sunday</v>
      </c>
      <c r="D198" s="56"/>
      <c r="E198" s="56"/>
      <c r="F198" s="56"/>
      <c r="G198" s="56"/>
      <c r="H198" s="56"/>
    </row>
    <row r="199" spans="1:9" x14ac:dyDescent="0.25">
      <c r="A199" s="9" t="s">
        <v>110</v>
      </c>
      <c r="B199" s="7">
        <v>46034</v>
      </c>
      <c r="C199" s="7" t="str">
        <f t="shared" si="24"/>
        <v>Monday</v>
      </c>
      <c r="D199" s="9" t="s">
        <v>91</v>
      </c>
      <c r="E199" s="9" t="s">
        <v>143</v>
      </c>
      <c r="F199" s="6" t="str">
        <f t="shared" ref="F199:F261" si="27">IF(C199="Sunday", "SUNDAY", IF(OR(D199=0, D199="", D199="0:0"), "ABSENT", IF(MOD(D199,1) &gt; TIME(9,45,0), "LATE", "OK")))</f>
        <v>LATE</v>
      </c>
      <c r="G199" s="14">
        <f t="shared" si="26"/>
        <v>0.33819444444444435</v>
      </c>
      <c r="H199" s="8" t="str">
        <f t="shared" si="25"/>
        <v>00:05</v>
      </c>
    </row>
    <row r="200" spans="1:9" x14ac:dyDescent="0.25">
      <c r="A200" s="9" t="s">
        <v>110</v>
      </c>
      <c r="B200" s="7">
        <v>46035</v>
      </c>
      <c r="C200" s="7" t="str">
        <f t="shared" si="24"/>
        <v>Tuesday</v>
      </c>
      <c r="D200" s="9" t="s">
        <v>142</v>
      </c>
      <c r="E200" s="9" t="s">
        <v>58</v>
      </c>
      <c r="F200" s="6" t="str">
        <f t="shared" si="27"/>
        <v>LATE</v>
      </c>
      <c r="G200" s="14">
        <f t="shared" si="26"/>
        <v>0.32430555555555551</v>
      </c>
      <c r="H200" s="8" t="str">
        <f t="shared" si="25"/>
        <v>NO OT</v>
      </c>
    </row>
    <row r="201" spans="1:9" x14ac:dyDescent="0.25">
      <c r="A201" s="9" t="s">
        <v>110</v>
      </c>
      <c r="B201" s="7">
        <v>46036</v>
      </c>
      <c r="C201" s="7" t="str">
        <f t="shared" si="24"/>
        <v>Wednesday</v>
      </c>
      <c r="D201" s="9" t="s">
        <v>12</v>
      </c>
      <c r="E201" s="9" t="s">
        <v>12</v>
      </c>
      <c r="F201" s="57" t="s">
        <v>160</v>
      </c>
      <c r="G201" s="57"/>
      <c r="H201" s="57"/>
    </row>
    <row r="202" spans="1:9" x14ac:dyDescent="0.25">
      <c r="A202" s="9" t="s">
        <v>110</v>
      </c>
      <c r="B202" s="7">
        <v>46037</v>
      </c>
      <c r="C202" s="7" t="str">
        <f t="shared" si="24"/>
        <v>Thursday</v>
      </c>
      <c r="D202" s="9" t="s">
        <v>30</v>
      </c>
      <c r="E202" s="9" t="s">
        <v>39</v>
      </c>
      <c r="F202" s="6" t="str">
        <f t="shared" si="27"/>
        <v>OK</v>
      </c>
      <c r="G202" s="14">
        <f t="shared" si="26"/>
        <v>0.31875000000000003</v>
      </c>
      <c r="H202" s="8" t="str">
        <f t="shared" si="25"/>
        <v>NO OT</v>
      </c>
    </row>
    <row r="203" spans="1:9" x14ac:dyDescent="0.25">
      <c r="A203" s="9" t="s">
        <v>110</v>
      </c>
      <c r="B203" s="7">
        <v>46038</v>
      </c>
      <c r="C203" s="7" t="str">
        <f t="shared" si="24"/>
        <v>Friday</v>
      </c>
      <c r="D203" s="9" t="s">
        <v>74</v>
      </c>
      <c r="E203" s="9" t="s">
        <v>90</v>
      </c>
      <c r="F203" s="6" t="str">
        <f t="shared" si="27"/>
        <v>OK</v>
      </c>
      <c r="G203" s="14">
        <f t="shared" si="26"/>
        <v>0.32569444444444445</v>
      </c>
      <c r="H203" s="8" t="str">
        <f t="shared" si="25"/>
        <v>NO OT</v>
      </c>
    </row>
    <row r="204" spans="1:9" x14ac:dyDescent="0.25">
      <c r="A204" s="9" t="s">
        <v>110</v>
      </c>
      <c r="B204" s="7">
        <v>46039</v>
      </c>
      <c r="C204" s="7" t="str">
        <f t="shared" si="24"/>
        <v>Saturday</v>
      </c>
      <c r="D204" s="9" t="s">
        <v>144</v>
      </c>
      <c r="E204" s="9" t="s">
        <v>40</v>
      </c>
      <c r="F204" s="6" t="str">
        <f t="shared" si="27"/>
        <v>LATE</v>
      </c>
      <c r="G204" s="14">
        <f t="shared" si="26"/>
        <v>0.30486111111111114</v>
      </c>
      <c r="H204" s="8" t="str">
        <f t="shared" si="25"/>
        <v>NO OT</v>
      </c>
    </row>
    <row r="205" spans="1:9" x14ac:dyDescent="0.25">
      <c r="A205" s="9" t="s">
        <v>110</v>
      </c>
      <c r="B205" s="7">
        <v>46040</v>
      </c>
      <c r="C205" s="56" t="str">
        <f t="shared" si="24"/>
        <v>Sunday</v>
      </c>
      <c r="D205" s="56"/>
      <c r="E205" s="56"/>
      <c r="F205" s="56"/>
      <c r="G205" s="56"/>
      <c r="H205" s="56"/>
    </row>
    <row r="206" spans="1:9" x14ac:dyDescent="0.25">
      <c r="A206" s="9" t="s">
        <v>110</v>
      </c>
      <c r="B206" s="7">
        <v>46041</v>
      </c>
      <c r="C206" s="7" t="str">
        <f t="shared" si="24"/>
        <v>Monday</v>
      </c>
      <c r="D206" s="9" t="s">
        <v>91</v>
      </c>
      <c r="E206" s="9" t="s">
        <v>12</v>
      </c>
      <c r="F206" s="6" t="str">
        <f t="shared" si="27"/>
        <v>LATE</v>
      </c>
      <c r="G206" s="14">
        <f t="shared" si="26"/>
        <v>-0.45694444444444449</v>
      </c>
      <c r="H206" s="8" t="str">
        <f t="shared" si="25"/>
        <v>NO OT</v>
      </c>
    </row>
    <row r="207" spans="1:9" x14ac:dyDescent="0.25">
      <c r="A207" s="9" t="s">
        <v>110</v>
      </c>
      <c r="B207" s="7">
        <v>46042</v>
      </c>
      <c r="C207" s="7" t="str">
        <f t="shared" si="24"/>
        <v>Tuesday</v>
      </c>
      <c r="D207" s="9" t="s">
        <v>12</v>
      </c>
      <c r="E207" s="9" t="s">
        <v>12</v>
      </c>
      <c r="F207" s="57" t="str">
        <f t="shared" si="27"/>
        <v>ABSENT</v>
      </c>
      <c r="G207" s="57"/>
      <c r="H207" s="57"/>
      <c r="I207" s="3">
        <v>2</v>
      </c>
    </row>
    <row r="208" spans="1:9" x14ac:dyDescent="0.25">
      <c r="A208" s="9" t="s">
        <v>110</v>
      </c>
      <c r="B208" s="7">
        <v>46043</v>
      </c>
      <c r="C208" s="7" t="str">
        <f t="shared" si="24"/>
        <v>Wednesday</v>
      </c>
      <c r="D208" s="9" t="s">
        <v>145</v>
      </c>
      <c r="E208" s="9" t="s">
        <v>146</v>
      </c>
      <c r="F208" s="6" t="str">
        <f t="shared" si="27"/>
        <v>LATE</v>
      </c>
      <c r="G208" s="14">
        <f t="shared" si="26"/>
        <v>0.38055555555555554</v>
      </c>
      <c r="H208" s="8" t="str">
        <f t="shared" si="25"/>
        <v>01:22</v>
      </c>
    </row>
    <row r="209" spans="1:9" x14ac:dyDescent="0.25">
      <c r="A209" s="9" t="s">
        <v>110</v>
      </c>
      <c r="B209" s="7">
        <v>46044</v>
      </c>
      <c r="C209" s="7" t="str">
        <f t="shared" si="24"/>
        <v>Thursday</v>
      </c>
      <c r="D209" s="9" t="s">
        <v>87</v>
      </c>
      <c r="E209" s="9" t="s">
        <v>147</v>
      </c>
      <c r="F209" s="6" t="str">
        <f t="shared" si="27"/>
        <v>LATE</v>
      </c>
      <c r="G209" s="14">
        <f t="shared" si="26"/>
        <v>0.30555555555555552</v>
      </c>
      <c r="H209" s="8" t="str">
        <f t="shared" si="25"/>
        <v>NO OT</v>
      </c>
    </row>
    <row r="210" spans="1:9" x14ac:dyDescent="0.25">
      <c r="A210" s="9" t="s">
        <v>110</v>
      </c>
      <c r="B210" s="7">
        <v>46045</v>
      </c>
      <c r="C210" s="7" t="str">
        <f t="shared" si="24"/>
        <v>Friday</v>
      </c>
      <c r="D210" s="9" t="s">
        <v>54</v>
      </c>
      <c r="E210" s="9" t="s">
        <v>33</v>
      </c>
      <c r="F210" s="6" t="str">
        <f t="shared" si="27"/>
        <v>LATE</v>
      </c>
      <c r="G210" s="14">
        <f t="shared" si="26"/>
        <v>0.30694444444444435</v>
      </c>
      <c r="H210" s="8" t="str">
        <f t="shared" si="25"/>
        <v>NO OT</v>
      </c>
    </row>
    <row r="211" spans="1:9" x14ac:dyDescent="0.25">
      <c r="A211" s="9" t="s">
        <v>110</v>
      </c>
      <c r="B211" s="7">
        <v>46046</v>
      </c>
      <c r="C211" s="7" t="str">
        <f t="shared" si="24"/>
        <v>Saturday</v>
      </c>
      <c r="D211" s="9" t="s">
        <v>12</v>
      </c>
      <c r="E211" s="9" t="s">
        <v>12</v>
      </c>
      <c r="F211" s="57" t="str">
        <f t="shared" si="27"/>
        <v>ABSENT</v>
      </c>
      <c r="G211" s="57"/>
      <c r="H211" s="57"/>
      <c r="I211" s="3">
        <v>3</v>
      </c>
    </row>
    <row r="212" spans="1:9" x14ac:dyDescent="0.25">
      <c r="A212" s="9" t="s">
        <v>110</v>
      </c>
      <c r="B212" s="7">
        <v>46047</v>
      </c>
      <c r="C212" s="56" t="str">
        <f t="shared" si="24"/>
        <v>Sunday</v>
      </c>
      <c r="D212" s="56"/>
      <c r="E212" s="56"/>
      <c r="F212" s="56"/>
      <c r="G212" s="56"/>
      <c r="H212" s="56"/>
    </row>
    <row r="213" spans="1:9" x14ac:dyDescent="0.25">
      <c r="A213" s="9" t="s">
        <v>110</v>
      </c>
      <c r="B213" s="7">
        <v>46048</v>
      </c>
      <c r="C213" s="7" t="str">
        <f t="shared" si="24"/>
        <v>Monday</v>
      </c>
      <c r="D213" s="9" t="s">
        <v>88</v>
      </c>
      <c r="E213" s="9" t="s">
        <v>35</v>
      </c>
      <c r="F213" s="6" t="str">
        <f t="shared" si="27"/>
        <v>LATE</v>
      </c>
      <c r="G213" s="14">
        <f t="shared" si="26"/>
        <v>0.32291666666666663</v>
      </c>
      <c r="H213" s="8" t="str">
        <f t="shared" si="25"/>
        <v>NO OT</v>
      </c>
    </row>
    <row r="214" spans="1:9" x14ac:dyDescent="0.25">
      <c r="A214" s="9" t="s">
        <v>110</v>
      </c>
      <c r="B214" s="7">
        <v>46049</v>
      </c>
      <c r="C214" s="7" t="str">
        <f t="shared" si="24"/>
        <v>Tuesday</v>
      </c>
      <c r="D214" s="9" t="s">
        <v>74</v>
      </c>
      <c r="E214" s="9" t="s">
        <v>108</v>
      </c>
      <c r="F214" s="6" t="str">
        <f t="shared" si="27"/>
        <v>OK</v>
      </c>
      <c r="G214" s="14">
        <f t="shared" si="26"/>
        <v>0.33611111111111108</v>
      </c>
      <c r="H214" s="8" t="str">
        <f t="shared" si="25"/>
        <v>NO OT</v>
      </c>
    </row>
    <row r="215" spans="1:9" x14ac:dyDescent="0.25">
      <c r="A215" s="9" t="s">
        <v>110</v>
      </c>
      <c r="B215" s="7">
        <v>46050</v>
      </c>
      <c r="C215" s="7" t="str">
        <f t="shared" si="24"/>
        <v>Wednesday</v>
      </c>
      <c r="D215" s="9" t="s">
        <v>103</v>
      </c>
      <c r="E215" s="9" t="s">
        <v>32</v>
      </c>
      <c r="F215" s="6" t="str">
        <f t="shared" si="27"/>
        <v>LATE</v>
      </c>
      <c r="G215" s="14">
        <f t="shared" si="26"/>
        <v>0.31736111111111115</v>
      </c>
      <c r="H215" s="8" t="str">
        <f t="shared" si="25"/>
        <v>NO OT</v>
      </c>
    </row>
    <row r="216" spans="1:9" x14ac:dyDescent="0.25">
      <c r="A216" s="9" t="s">
        <v>110</v>
      </c>
      <c r="B216" s="7">
        <v>46051</v>
      </c>
      <c r="C216" s="7" t="str">
        <f t="shared" si="24"/>
        <v>Thursday</v>
      </c>
      <c r="D216" s="9" t="s">
        <v>107</v>
      </c>
      <c r="E216" s="9" t="s">
        <v>8</v>
      </c>
      <c r="F216" s="6" t="str">
        <f t="shared" si="27"/>
        <v>LATE</v>
      </c>
      <c r="G216" s="14">
        <f t="shared" si="26"/>
        <v>0.32916666666666666</v>
      </c>
      <c r="H216" s="8" t="str">
        <f t="shared" si="25"/>
        <v>NO OT</v>
      </c>
    </row>
    <row r="217" spans="1:9" x14ac:dyDescent="0.25">
      <c r="A217" s="9" t="s">
        <v>110</v>
      </c>
      <c r="B217" s="7">
        <v>46052</v>
      </c>
      <c r="C217" s="7" t="str">
        <f t="shared" si="24"/>
        <v>Friday</v>
      </c>
      <c r="D217" s="9" t="s">
        <v>12</v>
      </c>
      <c r="E217" s="9" t="s">
        <v>12</v>
      </c>
      <c r="F217" s="57" t="str">
        <f t="shared" si="27"/>
        <v>ABSENT</v>
      </c>
      <c r="G217" s="57"/>
      <c r="H217" s="57"/>
      <c r="I217" s="3">
        <v>4</v>
      </c>
    </row>
    <row r="218" spans="1:9" x14ac:dyDescent="0.25">
      <c r="A218" s="9" t="s">
        <v>110</v>
      </c>
      <c r="B218" s="7">
        <v>46053</v>
      </c>
      <c r="C218" s="7" t="str">
        <f t="shared" si="24"/>
        <v>Saturday</v>
      </c>
      <c r="D218" s="9" t="s">
        <v>95</v>
      </c>
      <c r="E218" s="9" t="s">
        <v>95</v>
      </c>
      <c r="F218" s="57" t="str">
        <f t="shared" si="27"/>
        <v>ABSENT</v>
      </c>
      <c r="G218" s="57"/>
      <c r="H218" s="57"/>
      <c r="I218" s="3">
        <v>5</v>
      </c>
    </row>
    <row r="219" spans="1:9" x14ac:dyDescent="0.25">
      <c r="A219" s="9" t="s">
        <v>111</v>
      </c>
      <c r="B219" s="7">
        <v>46023</v>
      </c>
      <c r="C219" s="7" t="str">
        <f t="shared" si="24"/>
        <v>Thursday</v>
      </c>
      <c r="D219" s="9" t="s">
        <v>12</v>
      </c>
      <c r="E219" s="9" t="s">
        <v>12</v>
      </c>
      <c r="F219" s="57" t="str">
        <f t="shared" si="27"/>
        <v>ABSENT</v>
      </c>
      <c r="G219" s="57"/>
      <c r="H219" s="57"/>
      <c r="I219" s="3">
        <v>1</v>
      </c>
    </row>
    <row r="220" spans="1:9" x14ac:dyDescent="0.25">
      <c r="A220" s="9" t="s">
        <v>111</v>
      </c>
      <c r="B220" s="7">
        <v>46024</v>
      </c>
      <c r="C220" s="7" t="str">
        <f t="shared" si="24"/>
        <v>Friday</v>
      </c>
      <c r="D220" s="9" t="s">
        <v>12</v>
      </c>
      <c r="E220" s="9" t="s">
        <v>12</v>
      </c>
      <c r="F220" s="57" t="str">
        <f t="shared" si="27"/>
        <v>ABSENT</v>
      </c>
      <c r="G220" s="57"/>
      <c r="H220" s="57"/>
      <c r="I220" s="3">
        <v>2</v>
      </c>
    </row>
    <row r="221" spans="1:9" x14ac:dyDescent="0.25">
      <c r="A221" s="9" t="s">
        <v>111</v>
      </c>
      <c r="B221" s="7">
        <v>46025</v>
      </c>
      <c r="C221" s="7" t="str">
        <f t="shared" si="24"/>
        <v>Saturday</v>
      </c>
      <c r="D221" s="9" t="s">
        <v>12</v>
      </c>
      <c r="E221" s="9" t="s">
        <v>12</v>
      </c>
      <c r="F221" s="57" t="str">
        <f t="shared" si="27"/>
        <v>ABSENT</v>
      </c>
      <c r="G221" s="57"/>
      <c r="H221" s="57"/>
      <c r="I221" s="3">
        <v>3</v>
      </c>
    </row>
    <row r="222" spans="1:9" x14ac:dyDescent="0.25">
      <c r="A222" s="9" t="s">
        <v>111</v>
      </c>
      <c r="B222" s="7">
        <v>46026</v>
      </c>
      <c r="C222" s="56" t="str">
        <f t="shared" si="24"/>
        <v>Sunday</v>
      </c>
      <c r="D222" s="56"/>
      <c r="E222" s="56"/>
      <c r="F222" s="56"/>
      <c r="G222" s="56"/>
      <c r="H222" s="56"/>
    </row>
    <row r="223" spans="1:9" x14ac:dyDescent="0.25">
      <c r="A223" s="9" t="s">
        <v>111</v>
      </c>
      <c r="B223" s="7">
        <v>46027</v>
      </c>
      <c r="C223" s="7" t="str">
        <f t="shared" si="24"/>
        <v>Monday</v>
      </c>
      <c r="D223" s="9" t="s">
        <v>12</v>
      </c>
      <c r="E223" s="9" t="s">
        <v>12</v>
      </c>
      <c r="F223" s="57" t="str">
        <f t="shared" ref="F223" si="28">IF(C223="Sunday", "SUNDAY", IF(OR(D223=0, D223="", D223="0:0"), "ABSENT", IF(MOD(D223,1) &gt; TIME(9,45,0), "LATE", "OK")))</f>
        <v>ABSENT</v>
      </c>
      <c r="G223" s="57"/>
      <c r="H223" s="57"/>
      <c r="I223" s="3">
        <v>4</v>
      </c>
    </row>
    <row r="224" spans="1:9" x14ac:dyDescent="0.25">
      <c r="A224" s="9" t="s">
        <v>111</v>
      </c>
      <c r="B224" s="7">
        <v>46028</v>
      </c>
      <c r="C224" s="7" t="str">
        <f t="shared" si="24"/>
        <v>Tuesday</v>
      </c>
      <c r="D224" s="9" t="s">
        <v>121</v>
      </c>
      <c r="E224" s="9" t="s">
        <v>36</v>
      </c>
      <c r="F224" s="6" t="str">
        <f t="shared" si="27"/>
        <v>LATE</v>
      </c>
      <c r="G224" s="14">
        <f t="shared" si="26"/>
        <v>0.27638888888888891</v>
      </c>
      <c r="H224" s="8" t="str">
        <f t="shared" si="25"/>
        <v>NO OT</v>
      </c>
    </row>
    <row r="225" spans="1:9" x14ac:dyDescent="0.25">
      <c r="A225" s="9" t="s">
        <v>111</v>
      </c>
      <c r="B225" s="7">
        <v>46029</v>
      </c>
      <c r="C225" s="7" t="str">
        <f t="shared" si="24"/>
        <v>Wednesday</v>
      </c>
      <c r="D225" s="9" t="s">
        <v>122</v>
      </c>
      <c r="E225" s="9" t="s">
        <v>47</v>
      </c>
      <c r="F225" s="6" t="str">
        <f t="shared" si="27"/>
        <v>LATE</v>
      </c>
      <c r="G225" s="14">
        <f t="shared" si="26"/>
        <v>0.28680555555555554</v>
      </c>
      <c r="H225" s="8" t="str">
        <f t="shared" si="25"/>
        <v>NO OT</v>
      </c>
    </row>
    <row r="226" spans="1:9" x14ac:dyDescent="0.25">
      <c r="A226" s="9" t="s">
        <v>111</v>
      </c>
      <c r="B226" s="7">
        <v>46030</v>
      </c>
      <c r="C226" s="7" t="str">
        <f t="shared" si="24"/>
        <v>Thursday</v>
      </c>
      <c r="D226" s="9" t="s">
        <v>123</v>
      </c>
      <c r="E226" s="9" t="s">
        <v>36</v>
      </c>
      <c r="F226" s="6" t="str">
        <f t="shared" si="27"/>
        <v>LATE</v>
      </c>
      <c r="G226" s="14">
        <f t="shared" si="26"/>
        <v>0.28333333333333338</v>
      </c>
      <c r="H226" s="8" t="str">
        <f t="shared" si="25"/>
        <v>NO OT</v>
      </c>
    </row>
    <row r="227" spans="1:9" x14ac:dyDescent="0.25">
      <c r="A227" s="9" t="s">
        <v>111</v>
      </c>
      <c r="B227" s="7">
        <v>46031</v>
      </c>
      <c r="C227" s="7" t="str">
        <f t="shared" si="24"/>
        <v>Friday</v>
      </c>
      <c r="D227" s="9" t="s">
        <v>124</v>
      </c>
      <c r="E227" s="9" t="s">
        <v>125</v>
      </c>
      <c r="F227" s="6" t="str">
        <f t="shared" si="27"/>
        <v>LATE</v>
      </c>
      <c r="G227" s="14">
        <f t="shared" si="26"/>
        <v>0.28333333333333333</v>
      </c>
      <c r="H227" s="8" t="str">
        <f t="shared" si="25"/>
        <v>NO OT</v>
      </c>
    </row>
    <row r="228" spans="1:9" x14ac:dyDescent="0.25">
      <c r="A228" s="9" t="s">
        <v>111</v>
      </c>
      <c r="B228" s="7">
        <v>46032</v>
      </c>
      <c r="C228" s="7" t="str">
        <f t="shared" si="24"/>
        <v>Saturday</v>
      </c>
      <c r="D228" s="9" t="s">
        <v>126</v>
      </c>
      <c r="E228" s="9" t="s">
        <v>10</v>
      </c>
      <c r="F228" s="6" t="str">
        <f t="shared" si="27"/>
        <v>LATE</v>
      </c>
      <c r="G228" s="14">
        <f t="shared" si="26"/>
        <v>0.28333333333333338</v>
      </c>
      <c r="H228" s="8" t="str">
        <f t="shared" si="25"/>
        <v>NO OT</v>
      </c>
    </row>
    <row r="229" spans="1:9" x14ac:dyDescent="0.25">
      <c r="A229" s="9" t="s">
        <v>111</v>
      </c>
      <c r="B229" s="7">
        <v>46033</v>
      </c>
      <c r="C229" s="56" t="str">
        <f t="shared" si="24"/>
        <v>Sunday</v>
      </c>
      <c r="D229" s="56"/>
      <c r="E229" s="56"/>
      <c r="F229" s="56"/>
      <c r="G229" s="56"/>
      <c r="H229" s="56"/>
    </row>
    <row r="230" spans="1:9" x14ac:dyDescent="0.25">
      <c r="A230" s="9" t="s">
        <v>111</v>
      </c>
      <c r="B230" s="7">
        <v>46034</v>
      </c>
      <c r="C230" s="7" t="str">
        <f t="shared" si="24"/>
        <v>Monday</v>
      </c>
      <c r="D230" s="9" t="s">
        <v>127</v>
      </c>
      <c r="E230" s="9" t="s">
        <v>38</v>
      </c>
      <c r="F230" s="6" t="str">
        <f t="shared" si="27"/>
        <v>LATE</v>
      </c>
      <c r="G230" s="14">
        <f t="shared" si="26"/>
        <v>0.29305555555555557</v>
      </c>
      <c r="H230" s="8" t="str">
        <f t="shared" si="25"/>
        <v>NO OT</v>
      </c>
    </row>
    <row r="231" spans="1:9" x14ac:dyDescent="0.25">
      <c r="A231" s="9" t="s">
        <v>111</v>
      </c>
      <c r="B231" s="7">
        <v>46035</v>
      </c>
      <c r="C231" s="7" t="str">
        <f t="shared" si="24"/>
        <v>Tuesday</v>
      </c>
      <c r="D231" s="9" t="s">
        <v>128</v>
      </c>
      <c r="E231" s="9" t="s">
        <v>32</v>
      </c>
      <c r="F231" s="6" t="str">
        <f t="shared" si="27"/>
        <v>LATE</v>
      </c>
      <c r="G231" s="14">
        <f t="shared" si="26"/>
        <v>0.27569444444444446</v>
      </c>
      <c r="H231" s="8" t="str">
        <f t="shared" si="25"/>
        <v>NO OT</v>
      </c>
    </row>
    <row r="232" spans="1:9" x14ac:dyDescent="0.25">
      <c r="A232" s="9" t="s">
        <v>111</v>
      </c>
      <c r="B232" s="7">
        <v>46036</v>
      </c>
      <c r="C232" s="7" t="str">
        <f t="shared" si="24"/>
        <v>Wednesday</v>
      </c>
      <c r="D232" s="9" t="s">
        <v>12</v>
      </c>
      <c r="E232" s="9" t="s">
        <v>12</v>
      </c>
      <c r="F232" s="57" t="s">
        <v>160</v>
      </c>
      <c r="G232" s="57"/>
      <c r="H232" s="57"/>
      <c r="I232" s="3">
        <v>5</v>
      </c>
    </row>
    <row r="233" spans="1:9" x14ac:dyDescent="0.25">
      <c r="A233" s="9" t="s">
        <v>111</v>
      </c>
      <c r="B233" s="7">
        <v>46037</v>
      </c>
      <c r="C233" s="7" t="str">
        <f t="shared" si="24"/>
        <v>Thursday</v>
      </c>
      <c r="D233" s="9" t="s">
        <v>129</v>
      </c>
      <c r="E233" s="9" t="s">
        <v>108</v>
      </c>
      <c r="F233" s="6" t="str">
        <f t="shared" si="27"/>
        <v>LATE</v>
      </c>
      <c r="G233" s="14">
        <f t="shared" si="26"/>
        <v>0.29791666666666666</v>
      </c>
      <c r="H233" s="8" t="str">
        <f t="shared" si="25"/>
        <v>NO OT</v>
      </c>
    </row>
    <row r="234" spans="1:9" x14ac:dyDescent="0.25">
      <c r="A234" s="9" t="s">
        <v>111</v>
      </c>
      <c r="B234" s="7">
        <v>46038</v>
      </c>
      <c r="C234" s="7" t="str">
        <f t="shared" si="24"/>
        <v>Friday</v>
      </c>
      <c r="D234" s="9" t="s">
        <v>123</v>
      </c>
      <c r="E234" s="9" t="s">
        <v>40</v>
      </c>
      <c r="F234" s="6" t="str">
        <f t="shared" si="27"/>
        <v>LATE</v>
      </c>
      <c r="G234" s="14">
        <f t="shared" si="26"/>
        <v>0.28611111111111115</v>
      </c>
      <c r="H234" s="8" t="str">
        <f t="shared" si="25"/>
        <v>NO OT</v>
      </c>
    </row>
    <row r="235" spans="1:9" x14ac:dyDescent="0.25">
      <c r="A235" s="9" t="s">
        <v>111</v>
      </c>
      <c r="B235" s="7">
        <v>46039</v>
      </c>
      <c r="C235" s="7" t="str">
        <f t="shared" si="24"/>
        <v>Saturday</v>
      </c>
      <c r="D235" s="9" t="s">
        <v>130</v>
      </c>
      <c r="E235" s="9" t="s">
        <v>39</v>
      </c>
      <c r="F235" s="6" t="str">
        <f t="shared" si="27"/>
        <v>LATE</v>
      </c>
      <c r="G235" s="14">
        <f t="shared" si="26"/>
        <v>0.27569444444444446</v>
      </c>
      <c r="H235" s="8" t="str">
        <f t="shared" si="25"/>
        <v>NO OT</v>
      </c>
    </row>
    <row r="236" spans="1:9" x14ac:dyDescent="0.25">
      <c r="A236" s="9" t="s">
        <v>111</v>
      </c>
      <c r="B236" s="7">
        <v>46040</v>
      </c>
      <c r="C236" s="56" t="str">
        <f t="shared" si="24"/>
        <v>Sunday</v>
      </c>
      <c r="D236" s="56"/>
      <c r="E236" s="56"/>
      <c r="F236" s="56"/>
      <c r="G236" s="56"/>
      <c r="H236" s="56"/>
    </row>
    <row r="237" spans="1:9" x14ac:dyDescent="0.25">
      <c r="A237" s="9" t="s">
        <v>111</v>
      </c>
      <c r="B237" s="7">
        <v>46041</v>
      </c>
      <c r="C237" s="7" t="str">
        <f t="shared" si="24"/>
        <v>Monday</v>
      </c>
      <c r="D237" s="9" t="s">
        <v>131</v>
      </c>
      <c r="E237" s="9" t="s">
        <v>108</v>
      </c>
      <c r="F237" s="6" t="str">
        <f t="shared" si="27"/>
        <v>LATE</v>
      </c>
      <c r="G237" s="14">
        <f t="shared" si="26"/>
        <v>0.28680555555555554</v>
      </c>
      <c r="H237" s="8" t="str">
        <f t="shared" si="25"/>
        <v>NO OT</v>
      </c>
    </row>
    <row r="238" spans="1:9" x14ac:dyDescent="0.25">
      <c r="A238" s="9" t="s">
        <v>111</v>
      </c>
      <c r="B238" s="7">
        <v>46042</v>
      </c>
      <c r="C238" s="7" t="str">
        <f t="shared" si="24"/>
        <v>Tuesday</v>
      </c>
      <c r="D238" s="9" t="s">
        <v>132</v>
      </c>
      <c r="E238" s="9" t="s">
        <v>133</v>
      </c>
      <c r="F238" s="6" t="str">
        <f t="shared" si="27"/>
        <v>LATE</v>
      </c>
      <c r="G238" s="14">
        <f t="shared" si="26"/>
        <v>0.2986111111111111</v>
      </c>
      <c r="H238" s="8" t="str">
        <f t="shared" si="25"/>
        <v>NO OT</v>
      </c>
    </row>
    <row r="239" spans="1:9" x14ac:dyDescent="0.25">
      <c r="A239" s="9" t="s">
        <v>111</v>
      </c>
      <c r="B239" s="7">
        <v>46043</v>
      </c>
      <c r="C239" s="7" t="str">
        <f t="shared" si="24"/>
        <v>Wednesday</v>
      </c>
      <c r="D239" s="9" t="s">
        <v>12</v>
      </c>
      <c r="E239" s="9" t="s">
        <v>12</v>
      </c>
      <c r="F239" s="57" t="str">
        <f t="shared" si="27"/>
        <v>ABSENT</v>
      </c>
      <c r="G239" s="57"/>
      <c r="H239" s="57"/>
      <c r="I239" s="3">
        <v>6</v>
      </c>
    </row>
    <row r="240" spans="1:9" x14ac:dyDescent="0.25">
      <c r="A240" s="9" t="s">
        <v>111</v>
      </c>
      <c r="B240" s="7">
        <v>46044</v>
      </c>
      <c r="C240" s="7" t="str">
        <f t="shared" si="24"/>
        <v>Thursday</v>
      </c>
      <c r="D240" s="9" t="s">
        <v>134</v>
      </c>
      <c r="E240" s="9" t="s">
        <v>46</v>
      </c>
      <c r="F240" s="6" t="str">
        <f t="shared" si="27"/>
        <v>LATE</v>
      </c>
      <c r="G240" s="14">
        <f t="shared" si="26"/>
        <v>0.28888888888888892</v>
      </c>
      <c r="H240" s="8" t="str">
        <f t="shared" si="25"/>
        <v>NO OT</v>
      </c>
    </row>
    <row r="241" spans="1:9" x14ac:dyDescent="0.25">
      <c r="A241" s="9" t="s">
        <v>111</v>
      </c>
      <c r="B241" s="7">
        <v>46045</v>
      </c>
      <c r="C241" s="7" t="str">
        <f t="shared" si="24"/>
        <v>Friday</v>
      </c>
      <c r="D241" s="9" t="s">
        <v>135</v>
      </c>
      <c r="E241" s="9" t="s">
        <v>60</v>
      </c>
      <c r="F241" s="6" t="str">
        <f t="shared" si="27"/>
        <v>LATE</v>
      </c>
      <c r="G241" s="14">
        <f t="shared" si="26"/>
        <v>0.2951388888888889</v>
      </c>
      <c r="H241" s="8" t="str">
        <f t="shared" si="25"/>
        <v>NO OT</v>
      </c>
    </row>
    <row r="242" spans="1:9" x14ac:dyDescent="0.25">
      <c r="A242" s="9" t="s">
        <v>111</v>
      </c>
      <c r="B242" s="7">
        <v>46046</v>
      </c>
      <c r="C242" s="7" t="str">
        <f t="shared" si="24"/>
        <v>Saturday</v>
      </c>
      <c r="D242" s="9" t="s">
        <v>136</v>
      </c>
      <c r="E242" s="9" t="s">
        <v>57</v>
      </c>
      <c r="F242" s="6" t="str">
        <f t="shared" si="27"/>
        <v>LATE</v>
      </c>
      <c r="G242" s="14">
        <f t="shared" si="26"/>
        <v>0.28680555555555559</v>
      </c>
      <c r="H242" s="8" t="str">
        <f t="shared" si="25"/>
        <v>NO OT</v>
      </c>
    </row>
    <row r="243" spans="1:9" x14ac:dyDescent="0.25">
      <c r="A243" s="9" t="s">
        <v>111</v>
      </c>
      <c r="B243" s="7">
        <v>46047</v>
      </c>
      <c r="C243" s="56" t="str">
        <f t="shared" si="24"/>
        <v>Sunday</v>
      </c>
      <c r="D243" s="56"/>
      <c r="E243" s="56"/>
      <c r="F243" s="56"/>
      <c r="G243" s="56"/>
      <c r="H243" s="56"/>
    </row>
    <row r="244" spans="1:9" x14ac:dyDescent="0.25">
      <c r="A244" s="9" t="s">
        <v>111</v>
      </c>
      <c r="B244" s="7">
        <v>46048</v>
      </c>
      <c r="C244" s="7" t="str">
        <f t="shared" si="24"/>
        <v>Monday</v>
      </c>
      <c r="D244" s="9" t="s">
        <v>46</v>
      </c>
      <c r="E244" s="9" t="s">
        <v>12</v>
      </c>
      <c r="F244" s="6" t="str">
        <f t="shared" si="27"/>
        <v>LATE</v>
      </c>
      <c r="G244" s="14">
        <f t="shared" si="26"/>
        <v>-0.81319444444444444</v>
      </c>
      <c r="H244" s="8" t="str">
        <f t="shared" si="25"/>
        <v>NO OT</v>
      </c>
    </row>
    <row r="245" spans="1:9" x14ac:dyDescent="0.25">
      <c r="A245" s="9" t="s">
        <v>111</v>
      </c>
      <c r="B245" s="7">
        <v>46049</v>
      </c>
      <c r="C245" s="7" t="str">
        <f t="shared" si="24"/>
        <v>Tuesday</v>
      </c>
      <c r="D245" s="9" t="s">
        <v>22</v>
      </c>
      <c r="E245" s="9" t="s">
        <v>89</v>
      </c>
      <c r="F245" s="6" t="str">
        <f t="shared" si="27"/>
        <v>LATE</v>
      </c>
      <c r="G245" s="14">
        <f t="shared" si="26"/>
        <v>0.29930555555555555</v>
      </c>
      <c r="H245" s="8" t="str">
        <f t="shared" si="25"/>
        <v>NO OT</v>
      </c>
    </row>
    <row r="246" spans="1:9" x14ac:dyDescent="0.25">
      <c r="A246" s="9" t="s">
        <v>111</v>
      </c>
      <c r="B246" s="7">
        <v>46050</v>
      </c>
      <c r="C246" s="7" t="str">
        <f t="shared" si="24"/>
        <v>Wednesday</v>
      </c>
      <c r="D246" s="9" t="s">
        <v>12</v>
      </c>
      <c r="E246" s="9" t="s">
        <v>12</v>
      </c>
      <c r="F246" s="57" t="str">
        <f t="shared" si="27"/>
        <v>ABSENT</v>
      </c>
      <c r="G246" s="57"/>
      <c r="H246" s="57"/>
      <c r="I246" s="3">
        <v>7</v>
      </c>
    </row>
    <row r="247" spans="1:9" x14ac:dyDescent="0.25">
      <c r="A247" s="9" t="s">
        <v>111</v>
      </c>
      <c r="B247" s="7">
        <v>46051</v>
      </c>
      <c r="C247" s="7" t="str">
        <f t="shared" si="24"/>
        <v>Thursday</v>
      </c>
      <c r="D247" s="9" t="s">
        <v>137</v>
      </c>
      <c r="E247" s="9" t="s">
        <v>53</v>
      </c>
      <c r="F247" s="6" t="str">
        <f t="shared" si="27"/>
        <v>LATE</v>
      </c>
      <c r="G247" s="14">
        <f t="shared" si="26"/>
        <v>0.3034722222222222</v>
      </c>
      <c r="H247" s="8" t="str">
        <f t="shared" si="25"/>
        <v>NO OT</v>
      </c>
    </row>
    <row r="248" spans="1:9" x14ac:dyDescent="0.25">
      <c r="A248" s="9" t="s">
        <v>111</v>
      </c>
      <c r="B248" s="7">
        <v>46052</v>
      </c>
      <c r="C248" s="7" t="str">
        <f t="shared" si="24"/>
        <v>Friday</v>
      </c>
      <c r="D248" s="9" t="s">
        <v>121</v>
      </c>
      <c r="E248" s="9" t="s">
        <v>90</v>
      </c>
      <c r="F248" s="6" t="str">
        <f t="shared" si="27"/>
        <v>LATE</v>
      </c>
      <c r="G248" s="14">
        <f t="shared" si="26"/>
        <v>0.27986111111111112</v>
      </c>
      <c r="H248" s="8" t="str">
        <f t="shared" si="25"/>
        <v>NO OT</v>
      </c>
    </row>
    <row r="249" spans="1:9" x14ac:dyDescent="0.25">
      <c r="A249" s="9" t="s">
        <v>111</v>
      </c>
      <c r="B249" s="7">
        <v>46053</v>
      </c>
      <c r="C249" s="7" t="str">
        <f t="shared" si="24"/>
        <v>Saturday</v>
      </c>
      <c r="D249" s="9" t="s">
        <v>137</v>
      </c>
      <c r="E249" s="9" t="s">
        <v>36</v>
      </c>
      <c r="F249" s="6" t="str">
        <f t="shared" si="27"/>
        <v>LATE</v>
      </c>
      <c r="G249" s="14">
        <f t="shared" si="26"/>
        <v>0.29305555555555557</v>
      </c>
      <c r="H249" s="8" t="str">
        <f t="shared" si="25"/>
        <v>NO OT</v>
      </c>
    </row>
    <row r="250" spans="1:9" x14ac:dyDescent="0.25">
      <c r="A250" s="9" t="s">
        <v>112</v>
      </c>
      <c r="B250" s="7">
        <v>46023</v>
      </c>
      <c r="C250" s="7" t="str">
        <f t="shared" si="24"/>
        <v>Thursday</v>
      </c>
      <c r="D250" s="9" t="s">
        <v>56</v>
      </c>
      <c r="E250" s="9" t="s">
        <v>113</v>
      </c>
      <c r="F250" s="6" t="str">
        <f t="shared" si="27"/>
        <v>OK</v>
      </c>
      <c r="G250" s="14">
        <f t="shared" si="26"/>
        <v>0.37708333333333333</v>
      </c>
      <c r="H250" s="8" t="str">
        <f t="shared" si="25"/>
        <v>00:26</v>
      </c>
    </row>
    <row r="251" spans="1:9" x14ac:dyDescent="0.25">
      <c r="A251" s="9" t="s">
        <v>112</v>
      </c>
      <c r="B251" s="7">
        <v>46024</v>
      </c>
      <c r="C251" s="7" t="str">
        <f t="shared" si="24"/>
        <v>Friday</v>
      </c>
      <c r="D251" s="9" t="s">
        <v>92</v>
      </c>
      <c r="E251" s="9" t="s">
        <v>42</v>
      </c>
      <c r="F251" s="6" t="str">
        <f t="shared" si="27"/>
        <v>OK</v>
      </c>
      <c r="G251" s="14">
        <f t="shared" si="26"/>
        <v>0.33263888888888887</v>
      </c>
      <c r="H251" s="8" t="str">
        <f t="shared" si="25"/>
        <v>NO OT</v>
      </c>
    </row>
    <row r="252" spans="1:9" x14ac:dyDescent="0.25">
      <c r="A252" s="9" t="s">
        <v>112</v>
      </c>
      <c r="B252" s="7">
        <v>46025</v>
      </c>
      <c r="C252" s="7" t="str">
        <f t="shared" si="24"/>
        <v>Saturday</v>
      </c>
      <c r="D252" s="9" t="s">
        <v>67</v>
      </c>
      <c r="E252" s="9" t="s">
        <v>114</v>
      </c>
      <c r="F252" s="6" t="str">
        <f t="shared" si="27"/>
        <v>OK</v>
      </c>
      <c r="G252" s="14">
        <f t="shared" si="26"/>
        <v>0.35763888888888884</v>
      </c>
      <c r="H252" s="8" t="str">
        <f t="shared" si="25"/>
        <v>NO OT</v>
      </c>
    </row>
    <row r="253" spans="1:9" x14ac:dyDescent="0.25">
      <c r="A253" s="9" t="s">
        <v>112</v>
      </c>
      <c r="B253" s="7">
        <v>46026</v>
      </c>
      <c r="C253" s="56" t="str">
        <f t="shared" si="24"/>
        <v>Sunday</v>
      </c>
      <c r="D253" s="56"/>
      <c r="E253" s="56"/>
      <c r="F253" s="56"/>
      <c r="G253" s="56"/>
      <c r="H253" s="56"/>
    </row>
    <row r="254" spans="1:9" x14ac:dyDescent="0.25">
      <c r="A254" s="9" t="s">
        <v>112</v>
      </c>
      <c r="B254" s="7">
        <v>46027</v>
      </c>
      <c r="C254" s="7" t="str">
        <f t="shared" si="24"/>
        <v>Monday</v>
      </c>
      <c r="D254" s="9" t="s">
        <v>102</v>
      </c>
      <c r="E254" s="9" t="s">
        <v>90</v>
      </c>
      <c r="F254" s="6" t="str">
        <f t="shared" si="27"/>
        <v>OK</v>
      </c>
      <c r="G254" s="14">
        <f t="shared" si="26"/>
        <v>0.3263888888888889</v>
      </c>
      <c r="H254" s="8" t="str">
        <f t="shared" si="25"/>
        <v>NO OT</v>
      </c>
    </row>
    <row r="255" spans="1:9" x14ac:dyDescent="0.25">
      <c r="A255" s="9" t="s">
        <v>112</v>
      </c>
      <c r="B255" s="7">
        <v>46028</v>
      </c>
      <c r="C255" s="7" t="str">
        <f t="shared" si="24"/>
        <v>Tuesday</v>
      </c>
      <c r="D255" s="9" t="s">
        <v>24</v>
      </c>
      <c r="E255" s="9" t="s">
        <v>34</v>
      </c>
      <c r="F255" s="6" t="str">
        <f t="shared" si="27"/>
        <v>OK</v>
      </c>
      <c r="G255" s="14">
        <f t="shared" si="26"/>
        <v>0.32291666666666669</v>
      </c>
      <c r="H255" s="8" t="str">
        <f t="shared" si="25"/>
        <v>NO OT</v>
      </c>
    </row>
    <row r="256" spans="1:9" x14ac:dyDescent="0.25">
      <c r="A256" s="9" t="s">
        <v>112</v>
      </c>
      <c r="B256" s="7">
        <v>46029</v>
      </c>
      <c r="C256" s="7" t="str">
        <f t="shared" si="24"/>
        <v>Wednesday</v>
      </c>
      <c r="D256" s="9" t="s">
        <v>79</v>
      </c>
      <c r="E256" s="9" t="s">
        <v>47</v>
      </c>
      <c r="F256" s="6" t="str">
        <f t="shared" si="27"/>
        <v>OK</v>
      </c>
      <c r="G256" s="14">
        <f t="shared" si="26"/>
        <v>0.33958333333333335</v>
      </c>
      <c r="H256" s="8" t="str">
        <f t="shared" si="25"/>
        <v>NO OT</v>
      </c>
    </row>
    <row r="257" spans="1:8" x14ac:dyDescent="0.25">
      <c r="A257" s="9" t="s">
        <v>112</v>
      </c>
      <c r="B257" s="7">
        <v>46030</v>
      </c>
      <c r="C257" s="7" t="str">
        <f t="shared" si="24"/>
        <v>Thursday</v>
      </c>
      <c r="D257" s="9" t="s">
        <v>81</v>
      </c>
      <c r="E257" s="9" t="s">
        <v>34</v>
      </c>
      <c r="F257" s="6" t="str">
        <f t="shared" si="27"/>
        <v>OK</v>
      </c>
      <c r="G257" s="14">
        <f t="shared" si="26"/>
        <v>0.32430555555555557</v>
      </c>
      <c r="H257" s="8" t="str">
        <f t="shared" si="25"/>
        <v>NO OT</v>
      </c>
    </row>
    <row r="258" spans="1:8" x14ac:dyDescent="0.25">
      <c r="A258" s="9" t="s">
        <v>112</v>
      </c>
      <c r="B258" s="7">
        <v>46031</v>
      </c>
      <c r="C258" s="7" t="str">
        <f t="shared" si="24"/>
        <v>Friday</v>
      </c>
      <c r="D258" s="9" t="s">
        <v>7</v>
      </c>
      <c r="E258" s="9" t="s">
        <v>90</v>
      </c>
      <c r="F258" s="6" t="str">
        <f t="shared" si="27"/>
        <v>OK</v>
      </c>
      <c r="G258" s="14">
        <f t="shared" si="26"/>
        <v>0.33611111111111114</v>
      </c>
      <c r="H258" s="8" t="str">
        <f t="shared" si="25"/>
        <v>NO OT</v>
      </c>
    </row>
    <row r="259" spans="1:8" x14ac:dyDescent="0.25">
      <c r="A259" s="9" t="s">
        <v>112</v>
      </c>
      <c r="B259" s="7">
        <v>46032</v>
      </c>
      <c r="C259" s="7" t="str">
        <f t="shared" ref="C259:C280" si="29">TEXT(B259, "dddd")</f>
        <v>Saturday</v>
      </c>
      <c r="D259" s="9" t="s">
        <v>19</v>
      </c>
      <c r="E259" s="9" t="s">
        <v>38</v>
      </c>
      <c r="F259" s="6" t="str">
        <f t="shared" si="27"/>
        <v>OK</v>
      </c>
      <c r="G259" s="14">
        <f t="shared" si="26"/>
        <v>0.34027777777777779</v>
      </c>
      <c r="H259" s="8" t="str">
        <f t="shared" ref="H259:H280" si="30">IF(VALUE(E259) &gt; TIME(19,0,0), TEXT(VALUE(E259) - TIME(19,0,0), "hh:mm"), "NO OT")</f>
        <v>NO OT</v>
      </c>
    </row>
    <row r="260" spans="1:8" x14ac:dyDescent="0.25">
      <c r="A260" s="9" t="s">
        <v>112</v>
      </c>
      <c r="B260" s="7">
        <v>46033</v>
      </c>
      <c r="C260" s="56" t="str">
        <f t="shared" si="29"/>
        <v>Sunday</v>
      </c>
      <c r="D260" s="56"/>
      <c r="E260" s="56"/>
      <c r="F260" s="56"/>
      <c r="G260" s="56"/>
      <c r="H260" s="56"/>
    </row>
    <row r="261" spans="1:8" x14ac:dyDescent="0.25">
      <c r="A261" s="9" t="s">
        <v>112</v>
      </c>
      <c r="B261" s="7">
        <v>46034</v>
      </c>
      <c r="C261" s="7" t="str">
        <f t="shared" si="29"/>
        <v>Monday</v>
      </c>
      <c r="D261" s="9" t="s">
        <v>23</v>
      </c>
      <c r="E261" s="9" t="s">
        <v>12</v>
      </c>
      <c r="F261" s="6" t="str">
        <f t="shared" si="27"/>
        <v>OK</v>
      </c>
      <c r="G261" s="14">
        <f t="shared" ref="G261:G280" si="31">IF(OR(D261=0, D261="", E261=0, E261=""), 0, (E261-D261)-TIME(1,0,0))</f>
        <v>-0.43611111111111112</v>
      </c>
      <c r="H261" s="8" t="str">
        <f t="shared" si="30"/>
        <v>NO OT</v>
      </c>
    </row>
    <row r="262" spans="1:8" x14ac:dyDescent="0.25">
      <c r="A262" s="9" t="s">
        <v>112</v>
      </c>
      <c r="B262" s="7">
        <v>46035</v>
      </c>
      <c r="C262" s="7" t="str">
        <f t="shared" si="29"/>
        <v>Tuesday</v>
      </c>
      <c r="D262" s="9" t="s">
        <v>21</v>
      </c>
      <c r="E262" s="9" t="s">
        <v>38</v>
      </c>
      <c r="F262" s="6" t="str">
        <f t="shared" ref="F262:F280" si="32">IF(C262="Sunday", "SUNDAY", IF(OR(D262=0, D262="", D262="0:0"), "ABSENT", IF(MOD(D262,1) &gt; TIME(9,45,0), "LATE", "OK")))</f>
        <v>OK</v>
      </c>
      <c r="G262" s="14">
        <f t="shared" si="31"/>
        <v>0.33402777777777776</v>
      </c>
      <c r="H262" s="8" t="str">
        <f t="shared" si="30"/>
        <v>NO OT</v>
      </c>
    </row>
    <row r="263" spans="1:8" x14ac:dyDescent="0.25">
      <c r="A263" s="9" t="s">
        <v>112</v>
      </c>
      <c r="B263" s="7">
        <v>46036</v>
      </c>
      <c r="C263" s="7" t="str">
        <f t="shared" si="29"/>
        <v>Wednesday</v>
      </c>
      <c r="D263" s="9" t="s">
        <v>12</v>
      </c>
      <c r="E263" s="9" t="s">
        <v>12</v>
      </c>
      <c r="F263" s="57" t="s">
        <v>160</v>
      </c>
      <c r="G263" s="57"/>
      <c r="H263" s="57"/>
    </row>
    <row r="264" spans="1:8" x14ac:dyDescent="0.25">
      <c r="A264" s="9" t="s">
        <v>112</v>
      </c>
      <c r="B264" s="7">
        <v>46037</v>
      </c>
      <c r="C264" s="7" t="str">
        <f t="shared" si="29"/>
        <v>Thursday</v>
      </c>
      <c r="D264" s="9" t="s">
        <v>115</v>
      </c>
      <c r="E264" s="9" t="s">
        <v>57</v>
      </c>
      <c r="F264" s="6" t="str">
        <f t="shared" si="32"/>
        <v>OK</v>
      </c>
      <c r="G264" s="14">
        <f t="shared" si="31"/>
        <v>0.34097222222222223</v>
      </c>
      <c r="H264" s="8" t="str">
        <f t="shared" si="30"/>
        <v>NO OT</v>
      </c>
    </row>
    <row r="265" spans="1:8" x14ac:dyDescent="0.25">
      <c r="A265" s="9" t="s">
        <v>112</v>
      </c>
      <c r="B265" s="7">
        <v>46038</v>
      </c>
      <c r="C265" s="7" t="str">
        <f t="shared" si="29"/>
        <v>Friday</v>
      </c>
      <c r="D265" s="9" t="s">
        <v>7</v>
      </c>
      <c r="E265" s="9" t="s">
        <v>90</v>
      </c>
      <c r="F265" s="6" t="str">
        <f t="shared" si="32"/>
        <v>OK</v>
      </c>
      <c r="G265" s="14">
        <f t="shared" si="31"/>
        <v>0.33611111111111114</v>
      </c>
      <c r="H265" s="8" t="str">
        <f t="shared" si="30"/>
        <v>NO OT</v>
      </c>
    </row>
    <row r="266" spans="1:8" x14ac:dyDescent="0.25">
      <c r="A266" s="9" t="s">
        <v>112</v>
      </c>
      <c r="B266" s="7">
        <v>46039</v>
      </c>
      <c r="C266" s="7" t="str">
        <f t="shared" si="29"/>
        <v>Saturday</v>
      </c>
      <c r="D266" s="9" t="s">
        <v>56</v>
      </c>
      <c r="E266" s="9" t="s">
        <v>36</v>
      </c>
      <c r="F266" s="6" t="str">
        <f t="shared" si="32"/>
        <v>OK</v>
      </c>
      <c r="G266" s="14">
        <f t="shared" si="31"/>
        <v>0.33680555555555558</v>
      </c>
      <c r="H266" s="8" t="str">
        <f t="shared" si="30"/>
        <v>NO OT</v>
      </c>
    </row>
    <row r="267" spans="1:8" x14ac:dyDescent="0.25">
      <c r="A267" s="9" t="s">
        <v>112</v>
      </c>
      <c r="B267" s="7">
        <v>46040</v>
      </c>
      <c r="C267" s="56" t="str">
        <f t="shared" si="29"/>
        <v>Sunday</v>
      </c>
      <c r="D267" s="56"/>
      <c r="E267" s="56"/>
      <c r="F267" s="56"/>
      <c r="G267" s="56"/>
      <c r="H267" s="56"/>
    </row>
    <row r="268" spans="1:8" x14ac:dyDescent="0.25">
      <c r="A268" s="9" t="s">
        <v>112</v>
      </c>
      <c r="B268" s="7">
        <v>46041</v>
      </c>
      <c r="C268" s="7" t="str">
        <f t="shared" si="29"/>
        <v>Monday</v>
      </c>
      <c r="D268" s="9" t="s">
        <v>56</v>
      </c>
      <c r="E268" s="9" t="s">
        <v>53</v>
      </c>
      <c r="F268" s="6" t="str">
        <f t="shared" si="32"/>
        <v>OK</v>
      </c>
      <c r="G268" s="14">
        <f t="shared" si="31"/>
        <v>0.34722222222222221</v>
      </c>
      <c r="H268" s="8" t="str">
        <f t="shared" si="30"/>
        <v>NO OT</v>
      </c>
    </row>
    <row r="269" spans="1:8" x14ac:dyDescent="0.25">
      <c r="A269" s="9" t="s">
        <v>112</v>
      </c>
      <c r="B269" s="7">
        <v>46042</v>
      </c>
      <c r="C269" s="7" t="str">
        <f t="shared" si="29"/>
        <v>Tuesday</v>
      </c>
      <c r="D269" s="9" t="s">
        <v>23</v>
      </c>
      <c r="E269" s="9" t="s">
        <v>12</v>
      </c>
      <c r="F269" s="6" t="str">
        <f t="shared" si="32"/>
        <v>OK</v>
      </c>
      <c r="G269" s="14">
        <f t="shared" si="31"/>
        <v>-0.43611111111111112</v>
      </c>
      <c r="H269" s="8" t="str">
        <f t="shared" si="30"/>
        <v>NO OT</v>
      </c>
    </row>
    <row r="270" spans="1:8" x14ac:dyDescent="0.25">
      <c r="A270" s="9" t="s">
        <v>112</v>
      </c>
      <c r="B270" s="7">
        <v>46043</v>
      </c>
      <c r="C270" s="7" t="str">
        <f t="shared" si="29"/>
        <v>Wednesday</v>
      </c>
      <c r="D270" s="9" t="s">
        <v>19</v>
      </c>
      <c r="E270" s="9" t="s">
        <v>66</v>
      </c>
      <c r="F270" s="6" t="str">
        <f t="shared" si="32"/>
        <v>OK</v>
      </c>
      <c r="G270" s="14">
        <f t="shared" si="31"/>
        <v>0.32708333333333328</v>
      </c>
      <c r="H270" s="8" t="str">
        <f t="shared" si="30"/>
        <v>NO OT</v>
      </c>
    </row>
    <row r="271" spans="1:8" x14ac:dyDescent="0.25">
      <c r="A271" s="9" t="s">
        <v>112</v>
      </c>
      <c r="B271" s="7">
        <v>46044</v>
      </c>
      <c r="C271" s="7" t="str">
        <f t="shared" si="29"/>
        <v>Thursday</v>
      </c>
      <c r="D271" s="9" t="s">
        <v>116</v>
      </c>
      <c r="E271" s="9" t="s">
        <v>117</v>
      </c>
      <c r="F271" s="6" t="str">
        <f t="shared" si="32"/>
        <v>OK</v>
      </c>
      <c r="G271" s="14">
        <f t="shared" si="31"/>
        <v>0.37708333333333338</v>
      </c>
      <c r="H271" s="8" t="str">
        <f t="shared" si="30"/>
        <v>00:11</v>
      </c>
    </row>
    <row r="272" spans="1:8" x14ac:dyDescent="0.25">
      <c r="A272" s="9" t="s">
        <v>112</v>
      </c>
      <c r="B272" s="7">
        <v>46045</v>
      </c>
      <c r="C272" s="7" t="str">
        <f t="shared" si="29"/>
        <v>Friday</v>
      </c>
      <c r="D272" s="9" t="s">
        <v>50</v>
      </c>
      <c r="E272" s="9" t="s">
        <v>12</v>
      </c>
      <c r="F272" s="6" t="str">
        <f t="shared" si="32"/>
        <v>OK</v>
      </c>
      <c r="G272" s="14">
        <f t="shared" si="31"/>
        <v>-0.43541666666666667</v>
      </c>
      <c r="H272" s="8" t="str">
        <f t="shared" si="30"/>
        <v>NO OT</v>
      </c>
    </row>
    <row r="273" spans="1:8" x14ac:dyDescent="0.25">
      <c r="A273" s="9" t="s">
        <v>112</v>
      </c>
      <c r="B273" s="7">
        <v>46046</v>
      </c>
      <c r="C273" s="7" t="str">
        <f t="shared" si="29"/>
        <v>Saturday</v>
      </c>
      <c r="D273" s="9" t="s">
        <v>52</v>
      </c>
      <c r="E273" s="9" t="s">
        <v>89</v>
      </c>
      <c r="F273" s="6" t="str">
        <f t="shared" si="32"/>
        <v>OK</v>
      </c>
      <c r="G273" s="14">
        <f t="shared" si="31"/>
        <v>0.34305555555555556</v>
      </c>
      <c r="H273" s="8" t="str">
        <f t="shared" si="30"/>
        <v>NO OT</v>
      </c>
    </row>
    <row r="274" spans="1:8" x14ac:dyDescent="0.25">
      <c r="A274" s="9" t="s">
        <v>112</v>
      </c>
      <c r="B274" s="7">
        <v>46047</v>
      </c>
      <c r="C274" s="56" t="str">
        <f t="shared" si="29"/>
        <v>Sunday</v>
      </c>
      <c r="D274" s="56"/>
      <c r="E274" s="56"/>
      <c r="F274" s="56"/>
      <c r="G274" s="56"/>
      <c r="H274" s="56"/>
    </row>
    <row r="275" spans="1:8" x14ac:dyDescent="0.25">
      <c r="A275" s="9" t="s">
        <v>112</v>
      </c>
      <c r="B275" s="7">
        <v>46048</v>
      </c>
      <c r="C275" s="7" t="str">
        <f t="shared" si="29"/>
        <v>Monday</v>
      </c>
      <c r="D275" s="9" t="s">
        <v>51</v>
      </c>
      <c r="E275" s="9" t="s">
        <v>42</v>
      </c>
      <c r="F275" s="6" t="str">
        <f t="shared" si="32"/>
        <v>OK</v>
      </c>
      <c r="G275" s="14">
        <f t="shared" si="31"/>
        <v>0.34652777777777777</v>
      </c>
      <c r="H275" s="8" t="str">
        <f t="shared" si="30"/>
        <v>NO OT</v>
      </c>
    </row>
    <row r="276" spans="1:8" x14ac:dyDescent="0.25">
      <c r="A276" s="9" t="s">
        <v>112</v>
      </c>
      <c r="B276" s="7">
        <v>46049</v>
      </c>
      <c r="C276" s="7" t="str">
        <f t="shared" si="29"/>
        <v>Tuesday</v>
      </c>
      <c r="D276" s="9" t="s">
        <v>118</v>
      </c>
      <c r="E276" s="9" t="s">
        <v>119</v>
      </c>
      <c r="F276" s="6" t="str">
        <f t="shared" si="32"/>
        <v>OK</v>
      </c>
      <c r="G276" s="14">
        <f t="shared" si="31"/>
        <v>0.36111111111111105</v>
      </c>
      <c r="H276" s="8" t="str">
        <f t="shared" si="30"/>
        <v>NO OT</v>
      </c>
    </row>
    <row r="277" spans="1:8" x14ac:dyDescent="0.25">
      <c r="A277" s="9" t="s">
        <v>112</v>
      </c>
      <c r="B277" s="7">
        <v>46050</v>
      </c>
      <c r="C277" s="7" t="str">
        <f t="shared" si="29"/>
        <v>Wednesday</v>
      </c>
      <c r="D277" s="9" t="s">
        <v>116</v>
      </c>
      <c r="E277" s="9" t="s">
        <v>38</v>
      </c>
      <c r="F277" s="6" t="str">
        <f t="shared" si="32"/>
        <v>OK</v>
      </c>
      <c r="G277" s="14">
        <f t="shared" si="31"/>
        <v>0.35555555555555557</v>
      </c>
      <c r="H277" s="8" t="str">
        <f t="shared" si="30"/>
        <v>NO OT</v>
      </c>
    </row>
    <row r="278" spans="1:8" x14ac:dyDescent="0.25">
      <c r="A278" s="9" t="s">
        <v>112</v>
      </c>
      <c r="B278" s="7">
        <v>46051</v>
      </c>
      <c r="C278" s="7" t="str">
        <f t="shared" si="29"/>
        <v>Thursday</v>
      </c>
      <c r="D278" s="9" t="s">
        <v>76</v>
      </c>
      <c r="E278" s="9" t="s">
        <v>47</v>
      </c>
      <c r="F278" s="6" t="str">
        <f t="shared" si="32"/>
        <v>OK</v>
      </c>
      <c r="G278" s="14">
        <f t="shared" si="31"/>
        <v>0.34236111111111112</v>
      </c>
      <c r="H278" s="8" t="str">
        <f t="shared" si="30"/>
        <v>NO OT</v>
      </c>
    </row>
    <row r="279" spans="1:8" x14ac:dyDescent="0.25">
      <c r="A279" s="9" t="s">
        <v>112</v>
      </c>
      <c r="B279" s="7">
        <v>46052</v>
      </c>
      <c r="C279" s="7" t="str">
        <f t="shared" si="29"/>
        <v>Friday</v>
      </c>
      <c r="D279" s="9" t="s">
        <v>76</v>
      </c>
      <c r="E279" s="9" t="s">
        <v>47</v>
      </c>
      <c r="F279" s="6" t="str">
        <f t="shared" si="32"/>
        <v>OK</v>
      </c>
      <c r="G279" s="14">
        <f t="shared" si="31"/>
        <v>0.34236111111111112</v>
      </c>
      <c r="H279" s="8" t="str">
        <f t="shared" si="30"/>
        <v>NO OT</v>
      </c>
    </row>
    <row r="280" spans="1:8" x14ac:dyDescent="0.25">
      <c r="A280" s="9" t="s">
        <v>112</v>
      </c>
      <c r="B280" s="7">
        <v>46053</v>
      </c>
      <c r="C280" s="7" t="str">
        <f t="shared" si="29"/>
        <v>Saturday</v>
      </c>
      <c r="D280" s="9" t="s">
        <v>120</v>
      </c>
      <c r="E280" s="9" t="s">
        <v>62</v>
      </c>
      <c r="F280" s="6" t="str">
        <f t="shared" si="32"/>
        <v>OK</v>
      </c>
      <c r="G280" s="14">
        <f t="shared" si="31"/>
        <v>0.35069444444444448</v>
      </c>
      <c r="H280" s="8" t="str">
        <f t="shared" si="30"/>
        <v>NO OT</v>
      </c>
    </row>
  </sheetData>
  <autoFilter ref="A1:H280"/>
  <mergeCells count="78">
    <mergeCell ref="F217:H217"/>
    <mergeCell ref="F218:H218"/>
    <mergeCell ref="F219:H219"/>
    <mergeCell ref="F220:H220"/>
    <mergeCell ref="F221:H221"/>
    <mergeCell ref="F223:H223"/>
    <mergeCell ref="F121:H121"/>
    <mergeCell ref="F122:H122"/>
    <mergeCell ref="F123:H123"/>
    <mergeCell ref="F124:H124"/>
    <mergeCell ref="F125:H125"/>
    <mergeCell ref="F139:H139"/>
    <mergeCell ref="C181:H181"/>
    <mergeCell ref="C191:H191"/>
    <mergeCell ref="C198:H198"/>
    <mergeCell ref="C205:H205"/>
    <mergeCell ref="C212:H212"/>
    <mergeCell ref="C222:H222"/>
    <mergeCell ref="F192:H192"/>
    <mergeCell ref="F201:H201"/>
    <mergeCell ref="F207:H207"/>
    <mergeCell ref="C274:H274"/>
    <mergeCell ref="F42:H42"/>
    <mergeCell ref="F46:H46"/>
    <mergeCell ref="F56:H56"/>
    <mergeCell ref="F77:H77"/>
    <mergeCell ref="F95:H95"/>
    <mergeCell ref="F96:H96"/>
    <mergeCell ref="F97:H97"/>
    <mergeCell ref="F106:H106"/>
    <mergeCell ref="F108:H108"/>
    <mergeCell ref="C229:H229"/>
    <mergeCell ref="C236:H236"/>
    <mergeCell ref="C243:H243"/>
    <mergeCell ref="C253:H253"/>
    <mergeCell ref="C260:H260"/>
    <mergeCell ref="F114:H114"/>
    <mergeCell ref="C267:H267"/>
    <mergeCell ref="F232:H232"/>
    <mergeCell ref="F239:H239"/>
    <mergeCell ref="F246:H246"/>
    <mergeCell ref="F263:H263"/>
    <mergeCell ref="F211:H211"/>
    <mergeCell ref="C136:H136"/>
    <mergeCell ref="C143:H143"/>
    <mergeCell ref="C150:H150"/>
    <mergeCell ref="C160:H160"/>
    <mergeCell ref="C167:H167"/>
    <mergeCell ref="C174:H174"/>
    <mergeCell ref="F151:H151"/>
    <mergeCell ref="F170:H170"/>
    <mergeCell ref="C88:H88"/>
    <mergeCell ref="C98:H98"/>
    <mergeCell ref="C105:H105"/>
    <mergeCell ref="C112:H112"/>
    <mergeCell ref="C119:H119"/>
    <mergeCell ref="F115:H115"/>
    <mergeCell ref="F116:H116"/>
    <mergeCell ref="F117:H117"/>
    <mergeCell ref="F118:H118"/>
    <mergeCell ref="C129:H129"/>
    <mergeCell ref="F109:H109"/>
    <mergeCell ref="F110:H110"/>
    <mergeCell ref="F111:H111"/>
    <mergeCell ref="F113:H113"/>
    <mergeCell ref="F120:H120"/>
    <mergeCell ref="C81:H81"/>
    <mergeCell ref="C5:H5"/>
    <mergeCell ref="C12:H12"/>
    <mergeCell ref="C19:H19"/>
    <mergeCell ref="C26:H26"/>
    <mergeCell ref="F15:H15"/>
    <mergeCell ref="C36:H36"/>
    <mergeCell ref="C43:H43"/>
    <mergeCell ref="C50:H50"/>
    <mergeCell ref="C57:H57"/>
    <mergeCell ref="C67:H67"/>
    <mergeCell ref="C74:H74"/>
  </mergeCells>
  <conditionalFormatting sqref="F1:F4 F6:F11 F13:F18 F20:F25 F27:F35 F37:F42 F51:F56 F58:F66 F68:F73 F82:F87 F89:F97 F99:F104 F113:F118 F120:F128 F130:F135 F144:F149 F151:F159 F161:F166 F175:F180 F182:F190 F192:F197 F206:F211 F213:F221 F223:F228 F237:F242 F244:F252 F254:F259 F268:F273 F275:F1048576">
    <cfRule type="containsText" dxfId="51" priority="33" operator="containsText" text="CHUTTI">
      <formula>NOT(ISERROR(SEARCH("CHUTTI",F1)))</formula>
    </cfRule>
    <cfRule type="containsText" dxfId="50" priority="34" operator="containsText" text="LATE">
      <formula>NOT(ISERROR(SEARCH("LATE",F1)))</formula>
    </cfRule>
    <cfRule type="containsText" dxfId="49" priority="35" operator="containsText" text="ABSENT">
      <formula>NOT(ISERROR(SEARCH("ABSENT",F1)))</formula>
    </cfRule>
    <cfRule type="containsText" dxfId="48" priority="36" operator="containsText" text="OK">
      <formula>NOT(ISERROR(SEARCH("OK",F1)))</formula>
    </cfRule>
  </conditionalFormatting>
  <conditionalFormatting sqref="F44:F49">
    <cfRule type="containsText" dxfId="47" priority="29" operator="containsText" text="CHUTTI">
      <formula>NOT(ISERROR(SEARCH("CHUTTI",F44)))</formula>
    </cfRule>
    <cfRule type="containsText" dxfId="46" priority="30" operator="containsText" text="LATE">
      <formula>NOT(ISERROR(SEARCH("LATE",F44)))</formula>
    </cfRule>
    <cfRule type="containsText" dxfId="45" priority="31" operator="containsText" text="ABSENT">
      <formula>NOT(ISERROR(SEARCH("ABSENT",F44)))</formula>
    </cfRule>
    <cfRule type="containsText" dxfId="44" priority="32" operator="containsText" text="OK">
      <formula>NOT(ISERROR(SEARCH("OK",F44)))</formula>
    </cfRule>
  </conditionalFormatting>
  <conditionalFormatting sqref="F75:F80">
    <cfRule type="containsText" dxfId="43" priority="25" operator="containsText" text="CHUTTI">
      <formula>NOT(ISERROR(SEARCH("CHUTTI",F75)))</formula>
    </cfRule>
    <cfRule type="containsText" dxfId="42" priority="26" operator="containsText" text="LATE">
      <formula>NOT(ISERROR(SEARCH("LATE",F75)))</formula>
    </cfRule>
    <cfRule type="containsText" dxfId="41" priority="27" operator="containsText" text="ABSENT">
      <formula>NOT(ISERROR(SEARCH("ABSENT",F75)))</formula>
    </cfRule>
    <cfRule type="containsText" dxfId="40" priority="28" operator="containsText" text="OK">
      <formula>NOT(ISERROR(SEARCH("OK",F75)))</formula>
    </cfRule>
  </conditionalFormatting>
  <conditionalFormatting sqref="F106:F111">
    <cfRule type="containsText" dxfId="39" priority="21" operator="containsText" text="CHUTTI">
      <formula>NOT(ISERROR(SEARCH("CHUTTI",F106)))</formula>
    </cfRule>
    <cfRule type="containsText" dxfId="38" priority="22" operator="containsText" text="LATE">
      <formula>NOT(ISERROR(SEARCH("LATE",F106)))</formula>
    </cfRule>
    <cfRule type="containsText" dxfId="37" priority="23" operator="containsText" text="ABSENT">
      <formula>NOT(ISERROR(SEARCH("ABSENT",F106)))</formula>
    </cfRule>
    <cfRule type="containsText" dxfId="36" priority="24" operator="containsText" text="OK">
      <formula>NOT(ISERROR(SEARCH("OK",F106)))</formula>
    </cfRule>
  </conditionalFormatting>
  <conditionalFormatting sqref="F137:F142">
    <cfRule type="containsText" dxfId="35" priority="17" operator="containsText" text="CHUTTI">
      <formula>NOT(ISERROR(SEARCH("CHUTTI",F137)))</formula>
    </cfRule>
    <cfRule type="containsText" dxfId="34" priority="18" operator="containsText" text="LATE">
      <formula>NOT(ISERROR(SEARCH("LATE",F137)))</formula>
    </cfRule>
    <cfRule type="containsText" dxfId="33" priority="19" operator="containsText" text="ABSENT">
      <formula>NOT(ISERROR(SEARCH("ABSENT",F137)))</formula>
    </cfRule>
    <cfRule type="containsText" dxfId="32" priority="20" operator="containsText" text="OK">
      <formula>NOT(ISERROR(SEARCH("OK",F137)))</formula>
    </cfRule>
  </conditionalFormatting>
  <conditionalFormatting sqref="F168:F173">
    <cfRule type="containsText" dxfId="31" priority="13" operator="containsText" text="CHUTTI">
      <formula>NOT(ISERROR(SEARCH("CHUTTI",F168)))</formula>
    </cfRule>
    <cfRule type="containsText" dxfId="30" priority="14" operator="containsText" text="LATE">
      <formula>NOT(ISERROR(SEARCH("LATE",F168)))</formula>
    </cfRule>
    <cfRule type="containsText" dxfId="29" priority="15" operator="containsText" text="ABSENT">
      <formula>NOT(ISERROR(SEARCH("ABSENT",F168)))</formula>
    </cfRule>
    <cfRule type="containsText" dxfId="28" priority="16" operator="containsText" text="OK">
      <formula>NOT(ISERROR(SEARCH("OK",F168)))</formula>
    </cfRule>
  </conditionalFormatting>
  <conditionalFormatting sqref="F199:F204">
    <cfRule type="containsText" dxfId="27" priority="9" operator="containsText" text="CHUTTI">
      <formula>NOT(ISERROR(SEARCH("CHUTTI",F199)))</formula>
    </cfRule>
    <cfRule type="containsText" dxfId="26" priority="10" operator="containsText" text="LATE">
      <formula>NOT(ISERROR(SEARCH("LATE",F199)))</formula>
    </cfRule>
    <cfRule type="containsText" dxfId="25" priority="11" operator="containsText" text="ABSENT">
      <formula>NOT(ISERROR(SEARCH("ABSENT",F199)))</formula>
    </cfRule>
    <cfRule type="containsText" dxfId="24" priority="12" operator="containsText" text="OK">
      <formula>NOT(ISERROR(SEARCH("OK",F199)))</formula>
    </cfRule>
  </conditionalFormatting>
  <conditionalFormatting sqref="F230:F235">
    <cfRule type="containsText" dxfId="23" priority="5" operator="containsText" text="CHUTTI">
      <formula>NOT(ISERROR(SEARCH("CHUTTI",F230)))</formula>
    </cfRule>
    <cfRule type="containsText" dxfId="22" priority="6" operator="containsText" text="LATE">
      <formula>NOT(ISERROR(SEARCH("LATE",F230)))</formula>
    </cfRule>
    <cfRule type="containsText" dxfId="21" priority="7" operator="containsText" text="ABSENT">
      <formula>NOT(ISERROR(SEARCH("ABSENT",F230)))</formula>
    </cfRule>
    <cfRule type="containsText" dxfId="20" priority="8" operator="containsText" text="OK">
      <formula>NOT(ISERROR(SEARCH("OK",F230)))</formula>
    </cfRule>
  </conditionalFormatting>
  <conditionalFormatting sqref="F261:F266">
    <cfRule type="containsText" dxfId="19" priority="1" operator="containsText" text="CHUTTI">
      <formula>NOT(ISERROR(SEARCH("CHUTTI",F261)))</formula>
    </cfRule>
    <cfRule type="containsText" dxfId="18" priority="2" operator="containsText" text="LATE">
      <formula>NOT(ISERROR(SEARCH("LATE",F261)))</formula>
    </cfRule>
    <cfRule type="containsText" dxfId="17" priority="3" operator="containsText" text="ABSENT">
      <formula>NOT(ISERROR(SEARCH("ABSENT",F261)))</formula>
    </cfRule>
    <cfRule type="containsText" dxfId="16" priority="4" operator="containsText" text="OK">
      <formula>NOT(ISERROR(SEARCH("OK",F261)))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1"/>
  <sheetViews>
    <sheetView workbookViewId="0">
      <pane ySplit="1" topLeftCell="A23" activePane="bottomLeft" state="frozen"/>
      <selection pane="bottomLeft" activeCell="I3" sqref="I3"/>
    </sheetView>
  </sheetViews>
  <sheetFormatPr defaultColWidth="9.140625" defaultRowHeight="15" x14ac:dyDescent="0.25"/>
  <cols>
    <col min="1" max="1" width="9.140625" style="23"/>
    <col min="2" max="2" width="13.42578125" style="23" customWidth="1"/>
    <col min="3" max="3" width="13.5703125" style="23" customWidth="1"/>
    <col min="4" max="4" width="15.28515625" style="23" customWidth="1"/>
    <col min="5" max="6" width="14" style="23" customWidth="1"/>
    <col min="7" max="7" width="13.140625" style="23" customWidth="1"/>
    <col min="8" max="8" width="14.28515625" style="23" customWidth="1"/>
    <col min="9" max="9" width="14.140625" style="23" customWidth="1"/>
    <col min="10" max="16384" width="9.140625" style="23"/>
  </cols>
  <sheetData>
    <row r="1" spans="1:9" s="19" customFormat="1" ht="45" x14ac:dyDescent="0.25">
      <c r="A1" s="19" t="s">
        <v>0</v>
      </c>
      <c r="B1" s="19" t="s">
        <v>1</v>
      </c>
      <c r="C1" s="19" t="s">
        <v>31</v>
      </c>
      <c r="D1" s="20" t="s">
        <v>2</v>
      </c>
      <c r="E1" s="20" t="s">
        <v>3</v>
      </c>
      <c r="F1" s="20" t="s">
        <v>453</v>
      </c>
      <c r="G1" s="19" t="s">
        <v>4</v>
      </c>
      <c r="H1" s="21" t="s">
        <v>5</v>
      </c>
      <c r="I1" s="22" t="s">
        <v>6</v>
      </c>
    </row>
    <row r="2" spans="1:9" x14ac:dyDescent="0.25">
      <c r="A2" s="23" t="s">
        <v>247</v>
      </c>
      <c r="B2" s="24">
        <v>46054</v>
      </c>
      <c r="C2" s="58" t="str">
        <f>TEXT(B2, "dddd")</f>
        <v>Sunday</v>
      </c>
      <c r="D2" s="59"/>
      <c r="E2" s="59"/>
      <c r="F2" s="59"/>
    </row>
    <row r="3" spans="1:9" x14ac:dyDescent="0.25">
      <c r="A3" s="23" t="s">
        <v>247</v>
      </c>
      <c r="B3" s="24">
        <v>46055</v>
      </c>
      <c r="C3" s="23" t="str">
        <f t="shared" ref="C3:C66" si="0">TEXT(B3, "dddd")</f>
        <v>Monday</v>
      </c>
      <c r="D3" s="25" t="s">
        <v>189</v>
      </c>
      <c r="E3" s="25" t="s">
        <v>190</v>
      </c>
      <c r="F3" s="25" t="s">
        <v>191</v>
      </c>
      <c r="G3" s="23" t="str">
        <f t="shared" ref="G3:G66" si="1">IF(C3="Sunday", "SUNDAY", IF(OR(D3=0, D3="", D3="0:0"), "ABSENT", IF(MOD(D3,1) &gt; TIME(9,45,0), "LATE", "OK")))</f>
        <v>OK</v>
      </c>
      <c r="H3" s="26">
        <f t="shared" ref="H3:H66" si="2">IF(OR(D3=0, D3="", E3=0, E3=""), 0, (E3-D3)-TIME(1,0,0))</f>
        <v>0.32916666666666666</v>
      </c>
      <c r="I3" s="23" t="str">
        <f t="shared" ref="I3:I66" si="3">IF(VALUE(E3) &gt; TIME(19,0,0), TEXT(VALUE(E3) - TIME(19,0,0), "hh:mm"), "NO OT")</f>
        <v>NO OT</v>
      </c>
    </row>
    <row r="4" spans="1:9" x14ac:dyDescent="0.25">
      <c r="A4" s="23" t="s">
        <v>247</v>
      </c>
      <c r="B4" s="24">
        <v>46056</v>
      </c>
      <c r="C4" s="23" t="str">
        <f t="shared" si="0"/>
        <v>Tuesday</v>
      </c>
      <c r="D4" s="25" t="s">
        <v>192</v>
      </c>
      <c r="E4" s="25" t="s">
        <v>193</v>
      </c>
      <c r="F4" s="25" t="s">
        <v>194</v>
      </c>
      <c r="G4" s="23" t="str">
        <f t="shared" si="1"/>
        <v>LATE</v>
      </c>
      <c r="H4" s="26">
        <f t="shared" si="2"/>
        <v>0.32847222222222222</v>
      </c>
      <c r="I4" s="23" t="str">
        <f t="shared" si="3"/>
        <v>NO OT</v>
      </c>
    </row>
    <row r="5" spans="1:9" x14ac:dyDescent="0.25">
      <c r="A5" s="23" t="s">
        <v>247</v>
      </c>
      <c r="B5" s="24">
        <v>46057</v>
      </c>
      <c r="C5" s="23" t="str">
        <f t="shared" si="0"/>
        <v>Wednesday</v>
      </c>
      <c r="D5" s="25" t="s">
        <v>161</v>
      </c>
      <c r="E5" s="25" t="s">
        <v>195</v>
      </c>
      <c r="F5" s="25" t="s">
        <v>196</v>
      </c>
      <c r="G5" s="23" t="str">
        <f t="shared" si="1"/>
        <v>LATE</v>
      </c>
      <c r="H5" s="26">
        <f t="shared" si="2"/>
        <v>0.26041666666666663</v>
      </c>
      <c r="I5" s="23" t="str">
        <f t="shared" si="3"/>
        <v>NO OT</v>
      </c>
    </row>
    <row r="6" spans="1:9" x14ac:dyDescent="0.25">
      <c r="A6" s="23" t="s">
        <v>247</v>
      </c>
      <c r="B6" s="24">
        <v>46058</v>
      </c>
      <c r="C6" s="23" t="str">
        <f t="shared" si="0"/>
        <v>Thursday</v>
      </c>
      <c r="D6" s="25" t="s">
        <v>142</v>
      </c>
      <c r="E6" s="25" t="s">
        <v>197</v>
      </c>
      <c r="F6" s="25" t="s">
        <v>198</v>
      </c>
      <c r="G6" s="23" t="str">
        <f t="shared" si="1"/>
        <v>LATE</v>
      </c>
      <c r="H6" s="26">
        <f t="shared" si="2"/>
        <v>0.30902777777777779</v>
      </c>
      <c r="I6" s="23" t="str">
        <f t="shared" si="3"/>
        <v>NO OT</v>
      </c>
    </row>
    <row r="7" spans="1:9" x14ac:dyDescent="0.25">
      <c r="A7" s="23" t="s">
        <v>247</v>
      </c>
      <c r="B7" s="24">
        <v>46059</v>
      </c>
      <c r="C7" s="23" t="str">
        <f t="shared" si="0"/>
        <v>Friday</v>
      </c>
      <c r="D7" s="25" t="s">
        <v>199</v>
      </c>
      <c r="E7" s="25" t="s">
        <v>200</v>
      </c>
      <c r="F7" s="25" t="s">
        <v>201</v>
      </c>
      <c r="G7" s="23" t="str">
        <f t="shared" si="1"/>
        <v>LATE</v>
      </c>
      <c r="H7" s="26">
        <f t="shared" si="2"/>
        <v>0.37638888888888883</v>
      </c>
      <c r="I7" s="23" t="str">
        <f t="shared" si="3"/>
        <v>00:51</v>
      </c>
    </row>
    <row r="8" spans="1:9" x14ac:dyDescent="0.25">
      <c r="A8" s="23" t="s">
        <v>247</v>
      </c>
      <c r="B8" s="24">
        <v>46060</v>
      </c>
      <c r="C8" s="23" t="str">
        <f t="shared" si="0"/>
        <v>Saturday</v>
      </c>
      <c r="D8" s="25" t="s">
        <v>202</v>
      </c>
      <c r="E8" s="25" t="s">
        <v>203</v>
      </c>
      <c r="F8" s="25" t="s">
        <v>204</v>
      </c>
      <c r="G8" s="23" t="str">
        <f t="shared" si="1"/>
        <v>OK</v>
      </c>
      <c r="H8" s="26">
        <f t="shared" si="2"/>
        <v>0.34097222222222223</v>
      </c>
      <c r="I8" s="23" t="str">
        <f t="shared" si="3"/>
        <v>NO OT</v>
      </c>
    </row>
    <row r="9" spans="1:9" x14ac:dyDescent="0.25">
      <c r="A9" s="23" t="s">
        <v>247</v>
      </c>
      <c r="B9" s="24">
        <v>46061</v>
      </c>
      <c r="C9" s="58" t="str">
        <f>TEXT(B9, "dddd")</f>
        <v>Sunday</v>
      </c>
      <c r="D9" s="59"/>
      <c r="E9" s="59"/>
      <c r="F9" s="59"/>
    </row>
    <row r="10" spans="1:9" x14ac:dyDescent="0.25">
      <c r="A10" s="23" t="s">
        <v>247</v>
      </c>
      <c r="B10" s="24">
        <v>46062</v>
      </c>
      <c r="C10" s="23" t="str">
        <f t="shared" si="0"/>
        <v>Monday</v>
      </c>
      <c r="D10" s="25" t="s">
        <v>205</v>
      </c>
      <c r="E10" s="25" t="s">
        <v>12</v>
      </c>
      <c r="F10" s="25" t="s">
        <v>188</v>
      </c>
      <c r="G10" s="23" t="str">
        <f t="shared" si="1"/>
        <v>OK</v>
      </c>
      <c r="H10" s="26">
        <f t="shared" si="2"/>
        <v>-0.42777777777777781</v>
      </c>
      <c r="I10" s="23" t="str">
        <f t="shared" si="3"/>
        <v>NO OT</v>
      </c>
    </row>
    <row r="11" spans="1:9" x14ac:dyDescent="0.25">
      <c r="A11" s="23" t="s">
        <v>247</v>
      </c>
      <c r="B11" s="24">
        <v>46063</v>
      </c>
      <c r="C11" s="23" t="str">
        <f t="shared" si="0"/>
        <v>Tuesday</v>
      </c>
      <c r="D11" s="25" t="s">
        <v>206</v>
      </c>
      <c r="E11" s="25" t="s">
        <v>207</v>
      </c>
      <c r="F11" s="25" t="s">
        <v>208</v>
      </c>
      <c r="G11" s="23" t="str">
        <f t="shared" si="1"/>
        <v>OK</v>
      </c>
      <c r="H11" s="26">
        <f t="shared" si="2"/>
        <v>0.3215277777777778</v>
      </c>
      <c r="I11" s="23" t="str">
        <f t="shared" si="3"/>
        <v>NO OT</v>
      </c>
    </row>
    <row r="12" spans="1:9" x14ac:dyDescent="0.25">
      <c r="A12" s="23" t="s">
        <v>247</v>
      </c>
      <c r="B12" s="24">
        <v>46064</v>
      </c>
      <c r="C12" s="23" t="str">
        <f t="shared" si="0"/>
        <v>Wednesday</v>
      </c>
      <c r="D12" s="25" t="s">
        <v>202</v>
      </c>
      <c r="E12" s="25" t="s">
        <v>209</v>
      </c>
      <c r="F12" s="25" t="s">
        <v>210</v>
      </c>
      <c r="G12" s="23" t="str">
        <f t="shared" si="1"/>
        <v>OK</v>
      </c>
      <c r="H12" s="26">
        <f t="shared" si="2"/>
        <v>0.33263888888888893</v>
      </c>
      <c r="I12" s="23" t="str">
        <f t="shared" si="3"/>
        <v>NO OT</v>
      </c>
    </row>
    <row r="13" spans="1:9" x14ac:dyDescent="0.25">
      <c r="A13" s="23" t="s">
        <v>247</v>
      </c>
      <c r="B13" s="24">
        <v>46065</v>
      </c>
      <c r="C13" s="23" t="str">
        <f t="shared" si="0"/>
        <v>Thursday</v>
      </c>
      <c r="D13" s="25" t="s">
        <v>211</v>
      </c>
      <c r="E13" s="25" t="s">
        <v>212</v>
      </c>
      <c r="F13" s="25" t="s">
        <v>213</v>
      </c>
      <c r="G13" s="23" t="str">
        <f t="shared" si="1"/>
        <v>OK</v>
      </c>
      <c r="H13" s="26">
        <f t="shared" si="2"/>
        <v>0.33124999999999999</v>
      </c>
      <c r="I13" s="23" t="str">
        <f t="shared" si="3"/>
        <v>NO OT</v>
      </c>
    </row>
    <row r="14" spans="1:9" x14ac:dyDescent="0.25">
      <c r="A14" s="23" t="s">
        <v>247</v>
      </c>
      <c r="B14" s="24">
        <v>46066</v>
      </c>
      <c r="C14" s="23" t="str">
        <f t="shared" si="0"/>
        <v>Friday</v>
      </c>
      <c r="D14" s="25" t="s">
        <v>199</v>
      </c>
      <c r="E14" s="25" t="s">
        <v>214</v>
      </c>
      <c r="F14" s="25" t="s">
        <v>215</v>
      </c>
      <c r="G14" s="23" t="str">
        <f t="shared" si="1"/>
        <v>LATE</v>
      </c>
      <c r="H14" s="26">
        <f t="shared" si="2"/>
        <v>0.31805555555555559</v>
      </c>
      <c r="I14" s="23" t="str">
        <f t="shared" si="3"/>
        <v>NO OT</v>
      </c>
    </row>
    <row r="15" spans="1:9" x14ac:dyDescent="0.25">
      <c r="A15" s="23" t="s">
        <v>247</v>
      </c>
      <c r="B15" s="24">
        <v>46067</v>
      </c>
      <c r="C15" s="23" t="str">
        <f t="shared" si="0"/>
        <v>Saturday</v>
      </c>
      <c r="D15" s="25" t="s">
        <v>216</v>
      </c>
      <c r="E15" s="25" t="s">
        <v>217</v>
      </c>
      <c r="F15" s="25" t="s">
        <v>218</v>
      </c>
      <c r="G15" s="23" t="str">
        <f t="shared" si="1"/>
        <v>LATE</v>
      </c>
      <c r="H15" s="26">
        <f t="shared" si="2"/>
        <v>0.32430555555555557</v>
      </c>
      <c r="I15" s="23" t="str">
        <f t="shared" si="3"/>
        <v>NO OT</v>
      </c>
    </row>
    <row r="16" spans="1:9" x14ac:dyDescent="0.25">
      <c r="A16" s="23" t="s">
        <v>247</v>
      </c>
      <c r="B16" s="24">
        <v>46068</v>
      </c>
      <c r="C16" s="58" t="str">
        <f>TEXT(B16, "dddd")</f>
        <v>Sunday</v>
      </c>
      <c r="D16" s="59"/>
      <c r="E16" s="59"/>
      <c r="F16" s="59"/>
    </row>
    <row r="17" spans="1:9" x14ac:dyDescent="0.25">
      <c r="A17" s="23" t="s">
        <v>247</v>
      </c>
      <c r="B17" s="24">
        <v>46069</v>
      </c>
      <c r="C17" s="23" t="str">
        <f t="shared" si="0"/>
        <v>Monday</v>
      </c>
      <c r="D17" s="25" t="s">
        <v>219</v>
      </c>
      <c r="E17" s="25" t="s">
        <v>220</v>
      </c>
      <c r="F17" s="25" t="s">
        <v>221</v>
      </c>
      <c r="G17" s="23" t="str">
        <f t="shared" si="1"/>
        <v>OK</v>
      </c>
      <c r="H17" s="26">
        <f t="shared" si="2"/>
        <v>0.33333333333333331</v>
      </c>
      <c r="I17" s="23" t="str">
        <f t="shared" si="3"/>
        <v>NO OT</v>
      </c>
    </row>
    <row r="18" spans="1:9" x14ac:dyDescent="0.25">
      <c r="A18" s="23" t="s">
        <v>247</v>
      </c>
      <c r="B18" s="24">
        <v>46070</v>
      </c>
      <c r="C18" s="23" t="str">
        <f t="shared" si="0"/>
        <v>Tuesday</v>
      </c>
      <c r="D18" s="25" t="s">
        <v>222</v>
      </c>
      <c r="E18" s="25" t="s">
        <v>223</v>
      </c>
      <c r="F18" s="25" t="s">
        <v>210</v>
      </c>
      <c r="G18" s="23" t="str">
        <f t="shared" si="1"/>
        <v>OK</v>
      </c>
      <c r="H18" s="26">
        <f t="shared" si="2"/>
        <v>0.33263888888888887</v>
      </c>
      <c r="I18" s="23" t="str">
        <f t="shared" si="3"/>
        <v>NO OT</v>
      </c>
    </row>
    <row r="19" spans="1:9" x14ac:dyDescent="0.25">
      <c r="A19" s="23" t="s">
        <v>247</v>
      </c>
      <c r="B19" s="24">
        <v>46071</v>
      </c>
      <c r="C19" s="23" t="str">
        <f t="shared" si="0"/>
        <v>Wednesday</v>
      </c>
      <c r="D19" s="25" t="s">
        <v>224</v>
      </c>
      <c r="E19" s="25" t="s">
        <v>225</v>
      </c>
      <c r="F19" s="25" t="s">
        <v>226</v>
      </c>
      <c r="G19" s="23" t="str">
        <f t="shared" si="1"/>
        <v>LATE</v>
      </c>
      <c r="H19" s="26">
        <f t="shared" si="2"/>
        <v>0.31527777777777771</v>
      </c>
      <c r="I19" s="23" t="str">
        <f t="shared" si="3"/>
        <v>NO OT</v>
      </c>
    </row>
    <row r="20" spans="1:9" x14ac:dyDescent="0.25">
      <c r="A20" s="23" t="s">
        <v>247</v>
      </c>
      <c r="B20" s="24">
        <v>46072</v>
      </c>
      <c r="C20" s="23" t="str">
        <f t="shared" si="0"/>
        <v>Thursday</v>
      </c>
      <c r="D20" s="25" t="s">
        <v>192</v>
      </c>
      <c r="E20" s="25" t="s">
        <v>227</v>
      </c>
      <c r="F20" s="25" t="s">
        <v>228</v>
      </c>
      <c r="G20" s="23" t="str">
        <f t="shared" si="1"/>
        <v>LATE</v>
      </c>
      <c r="H20" s="26">
        <f t="shared" si="2"/>
        <v>0.28402777777777771</v>
      </c>
      <c r="I20" s="23" t="str">
        <f t="shared" si="3"/>
        <v>NO OT</v>
      </c>
    </row>
    <row r="21" spans="1:9" x14ac:dyDescent="0.25">
      <c r="A21" s="23" t="s">
        <v>247</v>
      </c>
      <c r="B21" s="24">
        <v>46073</v>
      </c>
      <c r="C21" s="23" t="str">
        <f t="shared" si="0"/>
        <v>Friday</v>
      </c>
      <c r="D21" s="25" t="s">
        <v>229</v>
      </c>
      <c r="E21" s="25" t="s">
        <v>230</v>
      </c>
      <c r="F21" s="25" t="s">
        <v>231</v>
      </c>
      <c r="G21" s="23" t="str">
        <f t="shared" si="1"/>
        <v>LATE</v>
      </c>
      <c r="H21" s="26">
        <f t="shared" si="2"/>
        <v>0.27986111111111106</v>
      </c>
      <c r="I21" s="23" t="str">
        <f t="shared" si="3"/>
        <v>NO OT</v>
      </c>
    </row>
    <row r="22" spans="1:9" x14ac:dyDescent="0.25">
      <c r="A22" s="23" t="s">
        <v>247</v>
      </c>
      <c r="B22" s="24">
        <v>46074</v>
      </c>
      <c r="C22" s="23" t="str">
        <f t="shared" si="0"/>
        <v>Saturday</v>
      </c>
      <c r="D22" s="25" t="s">
        <v>224</v>
      </c>
      <c r="E22" s="25" t="s">
        <v>232</v>
      </c>
      <c r="F22" s="25" t="s">
        <v>233</v>
      </c>
      <c r="G22" s="23" t="str">
        <f t="shared" si="1"/>
        <v>LATE</v>
      </c>
      <c r="H22" s="26">
        <f t="shared" si="2"/>
        <v>0.28750000000000003</v>
      </c>
      <c r="I22" s="23" t="str">
        <f t="shared" si="3"/>
        <v>NO OT</v>
      </c>
    </row>
    <row r="23" spans="1:9" x14ac:dyDescent="0.25">
      <c r="A23" s="23" t="s">
        <v>247</v>
      </c>
      <c r="B23" s="24">
        <v>46075</v>
      </c>
      <c r="C23" s="58" t="str">
        <f>TEXT(B23, "dddd")</f>
        <v>Sunday</v>
      </c>
      <c r="D23" s="59"/>
      <c r="E23" s="59"/>
      <c r="F23" s="59"/>
    </row>
    <row r="24" spans="1:9" x14ac:dyDescent="0.25">
      <c r="A24" s="23" t="s">
        <v>247</v>
      </c>
      <c r="B24" s="24">
        <v>46076</v>
      </c>
      <c r="C24" s="23" t="str">
        <f t="shared" si="0"/>
        <v>Monday</v>
      </c>
      <c r="D24" s="25" t="s">
        <v>216</v>
      </c>
      <c r="E24" s="25" t="s">
        <v>234</v>
      </c>
      <c r="F24" s="25" t="s">
        <v>235</v>
      </c>
      <c r="G24" s="23" t="str">
        <f t="shared" si="1"/>
        <v>LATE</v>
      </c>
      <c r="H24" s="26">
        <f t="shared" si="2"/>
        <v>0.2722222222222222</v>
      </c>
      <c r="I24" s="23" t="str">
        <f t="shared" si="3"/>
        <v>NO OT</v>
      </c>
    </row>
    <row r="25" spans="1:9" x14ac:dyDescent="0.25">
      <c r="A25" s="23" t="s">
        <v>247</v>
      </c>
      <c r="B25" s="24">
        <v>46077</v>
      </c>
      <c r="C25" s="23" t="str">
        <f t="shared" si="0"/>
        <v>Tuesday</v>
      </c>
      <c r="D25" s="25" t="s">
        <v>199</v>
      </c>
      <c r="E25" s="25" t="s">
        <v>236</v>
      </c>
      <c r="F25" s="25" t="s">
        <v>237</v>
      </c>
      <c r="G25" s="23" t="str">
        <f t="shared" si="1"/>
        <v>LATE</v>
      </c>
      <c r="H25" s="26">
        <f t="shared" si="2"/>
        <v>0.29166666666666669</v>
      </c>
      <c r="I25" s="23" t="str">
        <f t="shared" si="3"/>
        <v>NO OT</v>
      </c>
    </row>
    <row r="26" spans="1:9" x14ac:dyDescent="0.25">
      <c r="A26" s="23" t="s">
        <v>247</v>
      </c>
      <c r="B26" s="24">
        <v>46078</v>
      </c>
      <c r="C26" s="23" t="str">
        <f t="shared" si="0"/>
        <v>Wednesday</v>
      </c>
      <c r="D26" s="25" t="s">
        <v>222</v>
      </c>
      <c r="E26" s="25" t="s">
        <v>238</v>
      </c>
      <c r="F26" s="25" t="s">
        <v>239</v>
      </c>
      <c r="G26" s="23" t="str">
        <f t="shared" si="1"/>
        <v>OK</v>
      </c>
      <c r="H26" s="26">
        <f t="shared" si="2"/>
        <v>0.2986111111111111</v>
      </c>
      <c r="I26" s="23" t="str">
        <f t="shared" si="3"/>
        <v>NO OT</v>
      </c>
    </row>
    <row r="27" spans="1:9" x14ac:dyDescent="0.25">
      <c r="A27" s="23" t="s">
        <v>247</v>
      </c>
      <c r="B27" s="24">
        <v>46079</v>
      </c>
      <c r="C27" s="23" t="str">
        <f t="shared" si="0"/>
        <v>Thursday</v>
      </c>
      <c r="D27" s="25" t="s">
        <v>240</v>
      </c>
      <c r="E27" s="25" t="s">
        <v>241</v>
      </c>
      <c r="F27" s="25" t="s">
        <v>242</v>
      </c>
      <c r="G27" s="23" t="str">
        <f t="shared" si="1"/>
        <v>OK</v>
      </c>
      <c r="H27" s="26">
        <f t="shared" si="2"/>
        <v>0.29097222222222224</v>
      </c>
      <c r="I27" s="23" t="str">
        <f t="shared" si="3"/>
        <v>NO OT</v>
      </c>
    </row>
    <row r="28" spans="1:9" x14ac:dyDescent="0.25">
      <c r="A28" s="23" t="s">
        <v>247</v>
      </c>
      <c r="B28" s="24">
        <v>46080</v>
      </c>
      <c r="C28" s="23" t="str">
        <f t="shared" si="0"/>
        <v>Friday</v>
      </c>
      <c r="D28" s="25" t="s">
        <v>101</v>
      </c>
      <c r="E28" s="25" t="s">
        <v>243</v>
      </c>
      <c r="F28" s="25" t="s">
        <v>244</v>
      </c>
      <c r="G28" s="23" t="str">
        <f t="shared" si="1"/>
        <v>LATE</v>
      </c>
      <c r="H28" s="26">
        <f t="shared" si="2"/>
        <v>0.2631944444444444</v>
      </c>
      <c r="I28" s="23" t="str">
        <f t="shared" si="3"/>
        <v>NO OT</v>
      </c>
    </row>
    <row r="29" spans="1:9" x14ac:dyDescent="0.25">
      <c r="A29" s="23" t="s">
        <v>247</v>
      </c>
      <c r="B29" s="24">
        <v>46081</v>
      </c>
      <c r="C29" s="23" t="str">
        <f t="shared" si="0"/>
        <v>Saturday</v>
      </c>
      <c r="D29" s="25" t="s">
        <v>206</v>
      </c>
      <c r="E29" s="25" t="s">
        <v>245</v>
      </c>
      <c r="F29" s="25" t="s">
        <v>246</v>
      </c>
      <c r="G29" s="23" t="str">
        <f t="shared" si="1"/>
        <v>OK</v>
      </c>
      <c r="H29" s="26">
        <f t="shared" si="2"/>
        <v>0.27361111111111108</v>
      </c>
      <c r="I29" s="23" t="str">
        <f t="shared" si="3"/>
        <v>NO OT</v>
      </c>
    </row>
    <row r="30" spans="1:9" x14ac:dyDescent="0.25">
      <c r="A30" s="23" t="s">
        <v>452</v>
      </c>
      <c r="B30" s="24">
        <v>46054</v>
      </c>
      <c r="C30" s="58" t="str">
        <f>TEXT(B30, "dddd")</f>
        <v>Sunday</v>
      </c>
      <c r="D30" s="59"/>
      <c r="E30" s="59"/>
      <c r="F30" s="59"/>
    </row>
    <row r="31" spans="1:9" x14ac:dyDescent="0.25">
      <c r="A31" s="23" t="s">
        <v>452</v>
      </c>
      <c r="B31" s="24">
        <v>46055</v>
      </c>
      <c r="C31" s="23" t="str">
        <f t="shared" si="0"/>
        <v>Monday</v>
      </c>
      <c r="D31" s="18">
        <v>0.39513888888888887</v>
      </c>
      <c r="E31" s="17" t="s">
        <v>223</v>
      </c>
      <c r="F31" s="17" t="s">
        <v>248</v>
      </c>
      <c r="G31" s="23" t="str">
        <f t="shared" si="1"/>
        <v>OK</v>
      </c>
      <c r="H31" s="26">
        <f t="shared" si="2"/>
        <v>0.33750000000000002</v>
      </c>
      <c r="I31" s="23" t="str">
        <f t="shared" si="3"/>
        <v>NO OT</v>
      </c>
    </row>
    <row r="32" spans="1:9" x14ac:dyDescent="0.25">
      <c r="A32" s="23" t="s">
        <v>452</v>
      </c>
      <c r="B32" s="24">
        <v>46056</v>
      </c>
      <c r="C32" s="23" t="str">
        <f t="shared" si="0"/>
        <v>Tuesday</v>
      </c>
      <c r="D32" s="17" t="s">
        <v>211</v>
      </c>
      <c r="E32" s="17" t="s">
        <v>12</v>
      </c>
      <c r="F32" s="17" t="s">
        <v>188</v>
      </c>
      <c r="G32" s="23" t="str">
        <f t="shared" si="1"/>
        <v>OK</v>
      </c>
      <c r="H32" s="26">
        <f t="shared" si="2"/>
        <v>-0.44027777777777782</v>
      </c>
      <c r="I32" s="23" t="str">
        <f t="shared" si="3"/>
        <v>NO OT</v>
      </c>
    </row>
    <row r="33" spans="1:9" x14ac:dyDescent="0.25">
      <c r="A33" s="23" t="s">
        <v>452</v>
      </c>
      <c r="B33" s="24">
        <v>46057</v>
      </c>
      <c r="C33" s="23" t="str">
        <f t="shared" si="0"/>
        <v>Wednesday</v>
      </c>
      <c r="D33" s="17" t="s">
        <v>162</v>
      </c>
      <c r="E33" s="17" t="s">
        <v>249</v>
      </c>
      <c r="F33" s="17" t="s">
        <v>250</v>
      </c>
      <c r="G33" s="23" t="str">
        <f t="shared" si="1"/>
        <v>LATE</v>
      </c>
      <c r="H33" s="26">
        <f t="shared" si="2"/>
        <v>0.26874999999999999</v>
      </c>
      <c r="I33" s="23" t="str">
        <f t="shared" si="3"/>
        <v>NO OT</v>
      </c>
    </row>
    <row r="34" spans="1:9" x14ac:dyDescent="0.25">
      <c r="A34" s="23" t="s">
        <v>452</v>
      </c>
      <c r="B34" s="24">
        <v>46058</v>
      </c>
      <c r="C34" s="23" t="str">
        <f t="shared" si="0"/>
        <v>Thursday</v>
      </c>
      <c r="D34" s="17" t="s">
        <v>163</v>
      </c>
      <c r="E34" s="17" t="s">
        <v>12</v>
      </c>
      <c r="F34" s="17" t="s">
        <v>188</v>
      </c>
      <c r="G34" s="23" t="str">
        <f t="shared" si="1"/>
        <v>LATE</v>
      </c>
      <c r="H34" s="26">
        <f t="shared" si="2"/>
        <v>-0.47152777777777782</v>
      </c>
      <c r="I34" s="23" t="str">
        <f t="shared" si="3"/>
        <v>NO OT</v>
      </c>
    </row>
    <row r="35" spans="1:9" x14ac:dyDescent="0.25">
      <c r="A35" s="23" t="s">
        <v>452</v>
      </c>
      <c r="B35" s="24">
        <v>46059</v>
      </c>
      <c r="C35" s="23" t="str">
        <f t="shared" si="0"/>
        <v>Friday</v>
      </c>
      <c r="D35" s="17" t="s">
        <v>206</v>
      </c>
      <c r="E35" s="17" t="s">
        <v>251</v>
      </c>
      <c r="F35" s="17" t="s">
        <v>252</v>
      </c>
      <c r="G35" s="23" t="str">
        <f t="shared" si="1"/>
        <v>OK</v>
      </c>
      <c r="H35" s="26">
        <f t="shared" si="2"/>
        <v>0.33680555555555552</v>
      </c>
      <c r="I35" s="23" t="str">
        <f t="shared" si="3"/>
        <v>NO OT</v>
      </c>
    </row>
    <row r="36" spans="1:9" x14ac:dyDescent="0.25">
      <c r="A36" s="23" t="s">
        <v>452</v>
      </c>
      <c r="B36" s="24">
        <v>46060</v>
      </c>
      <c r="C36" s="23" t="str">
        <f t="shared" si="0"/>
        <v>Saturday</v>
      </c>
      <c r="D36" s="17" t="s">
        <v>253</v>
      </c>
      <c r="E36" s="17" t="s">
        <v>254</v>
      </c>
      <c r="F36" s="17" t="s">
        <v>208</v>
      </c>
      <c r="G36" s="23" t="str">
        <f t="shared" si="1"/>
        <v>LATE</v>
      </c>
      <c r="H36" s="26">
        <f t="shared" si="2"/>
        <v>0.3215277777777778</v>
      </c>
      <c r="I36" s="23" t="str">
        <f t="shared" si="3"/>
        <v>NO OT</v>
      </c>
    </row>
    <row r="37" spans="1:9" x14ac:dyDescent="0.25">
      <c r="A37" s="23" t="s">
        <v>452</v>
      </c>
      <c r="B37" s="24">
        <v>46061</v>
      </c>
      <c r="C37" s="58" t="str">
        <f>TEXT(B37, "dddd")</f>
        <v>Sunday</v>
      </c>
      <c r="D37" s="59"/>
      <c r="E37" s="59"/>
      <c r="F37" s="59"/>
    </row>
    <row r="38" spans="1:9" x14ac:dyDescent="0.25">
      <c r="A38" s="23" t="s">
        <v>452</v>
      </c>
      <c r="B38" s="24">
        <v>46062</v>
      </c>
      <c r="C38" s="23" t="str">
        <f t="shared" si="0"/>
        <v>Monday</v>
      </c>
      <c r="D38" s="17" t="s">
        <v>255</v>
      </c>
      <c r="E38" s="17" t="s">
        <v>12</v>
      </c>
      <c r="F38" s="17" t="s">
        <v>188</v>
      </c>
      <c r="G38" s="23" t="str">
        <f t="shared" si="1"/>
        <v>OK</v>
      </c>
      <c r="H38" s="26">
        <f t="shared" si="2"/>
        <v>-0.4465277777777778</v>
      </c>
      <c r="I38" s="23" t="str">
        <f t="shared" si="3"/>
        <v>NO OT</v>
      </c>
    </row>
    <row r="39" spans="1:9" x14ac:dyDescent="0.25">
      <c r="A39" s="23" t="s">
        <v>452</v>
      </c>
      <c r="B39" s="24">
        <v>46063</v>
      </c>
      <c r="C39" s="23" t="str">
        <f t="shared" si="0"/>
        <v>Tuesday</v>
      </c>
      <c r="D39" s="17" t="s">
        <v>256</v>
      </c>
      <c r="E39" s="17" t="s">
        <v>197</v>
      </c>
      <c r="F39" s="17" t="s">
        <v>257</v>
      </c>
      <c r="G39" s="23" t="str">
        <f t="shared" si="1"/>
        <v>OK</v>
      </c>
      <c r="H39" s="26">
        <f t="shared" si="2"/>
        <v>0.32986111111111116</v>
      </c>
      <c r="I39" s="23" t="str">
        <f t="shared" si="3"/>
        <v>NO OT</v>
      </c>
    </row>
    <row r="40" spans="1:9" x14ac:dyDescent="0.25">
      <c r="A40" s="23" t="s">
        <v>452</v>
      </c>
      <c r="B40" s="24">
        <v>46064</v>
      </c>
      <c r="C40" s="23" t="str">
        <f t="shared" si="0"/>
        <v>Wednesday</v>
      </c>
      <c r="D40" s="17" t="s">
        <v>258</v>
      </c>
      <c r="E40" s="17" t="s">
        <v>259</v>
      </c>
      <c r="F40" s="17" t="s">
        <v>248</v>
      </c>
      <c r="G40" s="23" t="str">
        <f t="shared" si="1"/>
        <v>OK</v>
      </c>
      <c r="H40" s="26">
        <f t="shared" si="2"/>
        <v>0.33750000000000002</v>
      </c>
      <c r="I40" s="23" t="str">
        <f t="shared" si="3"/>
        <v>NO OT</v>
      </c>
    </row>
    <row r="41" spans="1:9" x14ac:dyDescent="0.25">
      <c r="A41" s="23" t="s">
        <v>452</v>
      </c>
      <c r="B41" s="24">
        <v>46065</v>
      </c>
      <c r="C41" s="23" t="str">
        <f t="shared" si="0"/>
        <v>Thursday</v>
      </c>
      <c r="D41" s="17" t="s">
        <v>260</v>
      </c>
      <c r="E41" s="17" t="s">
        <v>259</v>
      </c>
      <c r="F41" s="17" t="s">
        <v>252</v>
      </c>
      <c r="G41" s="23" t="str">
        <f t="shared" si="1"/>
        <v>OK</v>
      </c>
      <c r="H41" s="26">
        <f t="shared" si="2"/>
        <v>0.33680555555555558</v>
      </c>
      <c r="I41" s="23" t="str">
        <f t="shared" si="3"/>
        <v>NO OT</v>
      </c>
    </row>
    <row r="42" spans="1:9" x14ac:dyDescent="0.25">
      <c r="A42" s="23" t="s">
        <v>452</v>
      </c>
      <c r="B42" s="24">
        <v>46066</v>
      </c>
      <c r="C42" s="23" t="str">
        <f t="shared" si="0"/>
        <v>Friday</v>
      </c>
      <c r="D42" s="17" t="s">
        <v>211</v>
      </c>
      <c r="E42" s="17" t="s">
        <v>261</v>
      </c>
      <c r="F42" s="17" t="s">
        <v>262</v>
      </c>
      <c r="G42" s="23" t="str">
        <f t="shared" si="1"/>
        <v>OK</v>
      </c>
      <c r="H42" s="26">
        <f t="shared" si="2"/>
        <v>0.32361111111111102</v>
      </c>
      <c r="I42" s="23" t="str">
        <f t="shared" si="3"/>
        <v>NO OT</v>
      </c>
    </row>
    <row r="43" spans="1:9" x14ac:dyDescent="0.25">
      <c r="A43" s="23" t="s">
        <v>452</v>
      </c>
      <c r="B43" s="24">
        <v>46067</v>
      </c>
      <c r="C43" s="23" t="str">
        <f t="shared" si="0"/>
        <v>Saturday</v>
      </c>
      <c r="D43" s="17" t="s">
        <v>260</v>
      </c>
      <c r="E43" s="17" t="s">
        <v>251</v>
      </c>
      <c r="F43" s="17" t="s">
        <v>263</v>
      </c>
      <c r="G43" s="23" t="str">
        <f t="shared" si="1"/>
        <v>OK</v>
      </c>
      <c r="H43" s="26">
        <f t="shared" si="2"/>
        <v>0.34652777777777777</v>
      </c>
      <c r="I43" s="23" t="str">
        <f t="shared" si="3"/>
        <v>NO OT</v>
      </c>
    </row>
    <row r="44" spans="1:9" x14ac:dyDescent="0.25">
      <c r="A44" s="23" t="s">
        <v>452</v>
      </c>
      <c r="B44" s="24">
        <v>46068</v>
      </c>
      <c r="C44" s="58" t="str">
        <f>TEXT(B44, "dddd")</f>
        <v>Sunday</v>
      </c>
      <c r="D44" s="59"/>
      <c r="E44" s="59"/>
      <c r="F44" s="59"/>
    </row>
    <row r="45" spans="1:9" x14ac:dyDescent="0.25">
      <c r="A45" s="23" t="s">
        <v>452</v>
      </c>
      <c r="B45" s="24">
        <v>46069</v>
      </c>
      <c r="C45" s="23" t="str">
        <f t="shared" si="0"/>
        <v>Monday</v>
      </c>
      <c r="D45" s="17" t="s">
        <v>264</v>
      </c>
      <c r="E45" s="17" t="s">
        <v>265</v>
      </c>
      <c r="F45" s="17" t="s">
        <v>266</v>
      </c>
      <c r="G45" s="23" t="str">
        <f t="shared" si="1"/>
        <v>LATE</v>
      </c>
      <c r="H45" s="26">
        <f t="shared" si="2"/>
        <v>0.25347222222222227</v>
      </c>
      <c r="I45" s="23" t="str">
        <f t="shared" si="3"/>
        <v>NO OT</v>
      </c>
    </row>
    <row r="46" spans="1:9" x14ac:dyDescent="0.25">
      <c r="A46" s="23" t="s">
        <v>452</v>
      </c>
      <c r="B46" s="24">
        <v>46070</v>
      </c>
      <c r="C46" s="23" t="str">
        <f t="shared" si="0"/>
        <v>Tuesday</v>
      </c>
      <c r="D46" s="17" t="s">
        <v>206</v>
      </c>
      <c r="E46" s="17" t="s">
        <v>267</v>
      </c>
      <c r="F46" s="17" t="s">
        <v>268</v>
      </c>
      <c r="G46" s="23" t="str">
        <f t="shared" si="1"/>
        <v>OK</v>
      </c>
      <c r="H46" s="26">
        <f t="shared" si="2"/>
        <v>0.32013888888888892</v>
      </c>
      <c r="I46" s="23" t="str">
        <f t="shared" si="3"/>
        <v>NO OT</v>
      </c>
    </row>
    <row r="47" spans="1:9" x14ac:dyDescent="0.25">
      <c r="A47" s="23" t="s">
        <v>452</v>
      </c>
      <c r="B47" s="24">
        <v>46071</v>
      </c>
      <c r="C47" s="23" t="str">
        <f t="shared" si="0"/>
        <v>Wednesday</v>
      </c>
      <c r="D47" s="17" t="s">
        <v>269</v>
      </c>
      <c r="E47" s="17" t="s">
        <v>270</v>
      </c>
      <c r="F47" s="17" t="s">
        <v>271</v>
      </c>
      <c r="G47" s="23" t="str">
        <f t="shared" si="1"/>
        <v>OK</v>
      </c>
      <c r="H47" s="26">
        <f t="shared" si="2"/>
        <v>0.32083333333333325</v>
      </c>
      <c r="I47" s="23" t="str">
        <f t="shared" si="3"/>
        <v>NO OT</v>
      </c>
    </row>
    <row r="48" spans="1:9" x14ac:dyDescent="0.25">
      <c r="A48" s="23" t="s">
        <v>452</v>
      </c>
      <c r="B48" s="24">
        <v>46072</v>
      </c>
      <c r="C48" s="23" t="str">
        <f t="shared" si="0"/>
        <v>Thursday</v>
      </c>
      <c r="D48" s="17" t="s">
        <v>272</v>
      </c>
      <c r="E48" s="17" t="s">
        <v>232</v>
      </c>
      <c r="F48" s="17" t="s">
        <v>273</v>
      </c>
      <c r="G48" s="23" t="str">
        <f t="shared" si="1"/>
        <v>OK</v>
      </c>
      <c r="H48" s="26">
        <f t="shared" si="2"/>
        <v>0.30277777777777781</v>
      </c>
      <c r="I48" s="23" t="str">
        <f t="shared" si="3"/>
        <v>NO OT</v>
      </c>
    </row>
    <row r="49" spans="1:9" x14ac:dyDescent="0.25">
      <c r="A49" s="23" t="s">
        <v>452</v>
      </c>
      <c r="B49" s="24">
        <v>46073</v>
      </c>
      <c r="C49" s="23" t="str">
        <f t="shared" si="0"/>
        <v>Friday</v>
      </c>
      <c r="D49" s="17" t="s">
        <v>260</v>
      </c>
      <c r="E49" s="17" t="s">
        <v>274</v>
      </c>
      <c r="F49" s="17" t="s">
        <v>275</v>
      </c>
      <c r="G49" s="23" t="str">
        <f t="shared" si="1"/>
        <v>OK</v>
      </c>
      <c r="H49" s="26">
        <f t="shared" si="2"/>
        <v>0.30972222222222223</v>
      </c>
      <c r="I49" s="23" t="str">
        <f t="shared" si="3"/>
        <v>NO OT</v>
      </c>
    </row>
    <row r="50" spans="1:9" x14ac:dyDescent="0.25">
      <c r="A50" s="23" t="s">
        <v>452</v>
      </c>
      <c r="B50" s="24">
        <v>46074</v>
      </c>
      <c r="C50" s="23" t="str">
        <f t="shared" si="0"/>
        <v>Saturday</v>
      </c>
      <c r="D50" s="17" t="s">
        <v>276</v>
      </c>
      <c r="E50" s="17" t="s">
        <v>234</v>
      </c>
      <c r="F50" s="17" t="s">
        <v>237</v>
      </c>
      <c r="G50" s="23" t="str">
        <f t="shared" si="1"/>
        <v>OK</v>
      </c>
      <c r="H50" s="26">
        <f t="shared" si="2"/>
        <v>0.29166666666666663</v>
      </c>
      <c r="I50" s="23" t="str">
        <f t="shared" si="3"/>
        <v>NO OT</v>
      </c>
    </row>
    <row r="51" spans="1:9" x14ac:dyDescent="0.25">
      <c r="A51" s="23" t="s">
        <v>452</v>
      </c>
      <c r="B51" s="24">
        <v>46075</v>
      </c>
      <c r="C51" s="58" t="str">
        <f>TEXT(B51, "dddd")</f>
        <v>Sunday</v>
      </c>
      <c r="D51" s="59"/>
      <c r="E51" s="59"/>
      <c r="F51" s="59"/>
    </row>
    <row r="52" spans="1:9" x14ac:dyDescent="0.25">
      <c r="A52" s="23" t="s">
        <v>452</v>
      </c>
      <c r="B52" s="24">
        <v>46076</v>
      </c>
      <c r="C52" s="23" t="str">
        <f t="shared" si="0"/>
        <v>Monday</v>
      </c>
      <c r="D52" s="17" t="s">
        <v>164</v>
      </c>
      <c r="E52" s="17" t="s">
        <v>277</v>
      </c>
      <c r="F52" s="17" t="s">
        <v>278</v>
      </c>
      <c r="G52" s="23" t="str">
        <f t="shared" si="1"/>
        <v>LATE</v>
      </c>
      <c r="H52" s="26">
        <f t="shared" si="2"/>
        <v>0.21527777777777776</v>
      </c>
      <c r="I52" s="23" t="str">
        <f t="shared" si="3"/>
        <v>NO OT</v>
      </c>
    </row>
    <row r="53" spans="1:9" x14ac:dyDescent="0.25">
      <c r="A53" s="23" t="s">
        <v>452</v>
      </c>
      <c r="B53" s="24">
        <v>46077</v>
      </c>
      <c r="C53" s="23" t="str">
        <f t="shared" si="0"/>
        <v>Tuesday</v>
      </c>
      <c r="D53" s="17" t="s">
        <v>279</v>
      </c>
      <c r="E53" s="17" t="s">
        <v>280</v>
      </c>
      <c r="F53" s="17" t="s">
        <v>281</v>
      </c>
      <c r="G53" s="23" t="str">
        <f t="shared" si="1"/>
        <v>OK</v>
      </c>
      <c r="H53" s="26">
        <f t="shared" si="2"/>
        <v>0.29305555555555551</v>
      </c>
      <c r="I53" s="23" t="str">
        <f t="shared" si="3"/>
        <v>NO OT</v>
      </c>
    </row>
    <row r="54" spans="1:9" x14ac:dyDescent="0.25">
      <c r="A54" s="23" t="s">
        <v>452</v>
      </c>
      <c r="B54" s="24">
        <v>46078</v>
      </c>
      <c r="C54" s="23" t="str">
        <f t="shared" si="0"/>
        <v>Wednesday</v>
      </c>
      <c r="D54" s="17" t="s">
        <v>282</v>
      </c>
      <c r="E54" s="17" t="s">
        <v>12</v>
      </c>
      <c r="F54" s="17" t="s">
        <v>188</v>
      </c>
      <c r="G54" s="23" t="str">
        <f t="shared" si="1"/>
        <v>OK</v>
      </c>
      <c r="H54" s="26">
        <f t="shared" si="2"/>
        <v>-0.43194444444444446</v>
      </c>
      <c r="I54" s="23" t="str">
        <f t="shared" si="3"/>
        <v>NO OT</v>
      </c>
    </row>
    <row r="55" spans="1:9" x14ac:dyDescent="0.25">
      <c r="A55" s="23" t="s">
        <v>452</v>
      </c>
      <c r="B55" s="24">
        <v>46079</v>
      </c>
      <c r="C55" s="23" t="str">
        <f t="shared" si="0"/>
        <v>Thursday</v>
      </c>
      <c r="D55" s="17" t="s">
        <v>145</v>
      </c>
      <c r="E55" s="17" t="s">
        <v>283</v>
      </c>
      <c r="F55" s="17" t="s">
        <v>284</v>
      </c>
      <c r="G55" s="23" t="str">
        <f t="shared" si="1"/>
        <v>LATE</v>
      </c>
      <c r="H55" s="26">
        <f t="shared" si="2"/>
        <v>0.23611111111111119</v>
      </c>
      <c r="I55" s="23" t="str">
        <f t="shared" si="3"/>
        <v>NO OT</v>
      </c>
    </row>
    <row r="56" spans="1:9" x14ac:dyDescent="0.25">
      <c r="A56" s="23" t="s">
        <v>452</v>
      </c>
      <c r="B56" s="24">
        <v>46080</v>
      </c>
      <c r="C56" s="23" t="str">
        <f t="shared" si="0"/>
        <v>Friday</v>
      </c>
      <c r="D56" s="17" t="s">
        <v>285</v>
      </c>
      <c r="E56" s="17" t="s">
        <v>286</v>
      </c>
      <c r="F56" s="17" t="s">
        <v>287</v>
      </c>
      <c r="G56" s="23" t="str">
        <f t="shared" si="1"/>
        <v>LATE</v>
      </c>
      <c r="H56" s="26">
        <f t="shared" si="2"/>
        <v>0.25763888888888892</v>
      </c>
      <c r="I56" s="23" t="str">
        <f t="shared" si="3"/>
        <v>NO OT</v>
      </c>
    </row>
    <row r="57" spans="1:9" x14ac:dyDescent="0.25">
      <c r="A57" s="23" t="s">
        <v>452</v>
      </c>
      <c r="B57" s="24">
        <v>46081</v>
      </c>
      <c r="C57" s="23" t="str">
        <f t="shared" si="0"/>
        <v>Saturday</v>
      </c>
      <c r="D57" s="17" t="s">
        <v>288</v>
      </c>
      <c r="E57" s="17" t="s">
        <v>245</v>
      </c>
      <c r="F57" s="17" t="s">
        <v>289</v>
      </c>
      <c r="G57" s="23" t="str">
        <f t="shared" si="1"/>
        <v>OK</v>
      </c>
      <c r="H57" s="26">
        <f t="shared" si="2"/>
        <v>0.28888888888888886</v>
      </c>
      <c r="I57" s="23" t="str">
        <f t="shared" si="3"/>
        <v>NO OT</v>
      </c>
    </row>
    <row r="58" spans="1:9" x14ac:dyDescent="0.25">
      <c r="A58" s="23" t="s">
        <v>290</v>
      </c>
      <c r="B58" s="24">
        <v>46054</v>
      </c>
      <c r="C58" s="58" t="str">
        <f>TEXT(B58, "dddd")</f>
        <v>Sunday</v>
      </c>
      <c r="D58" s="59"/>
      <c r="E58" s="59"/>
      <c r="F58" s="59"/>
    </row>
    <row r="59" spans="1:9" x14ac:dyDescent="0.25">
      <c r="A59" s="23" t="s">
        <v>290</v>
      </c>
      <c r="B59" s="24">
        <v>46055</v>
      </c>
      <c r="C59" s="23" t="str">
        <f t="shared" si="0"/>
        <v>Monday</v>
      </c>
      <c r="D59" s="17" t="s">
        <v>291</v>
      </c>
      <c r="E59" s="17" t="s">
        <v>292</v>
      </c>
      <c r="F59" s="17" t="s">
        <v>293</v>
      </c>
      <c r="G59" s="23" t="str">
        <f t="shared" si="1"/>
        <v>LATE</v>
      </c>
      <c r="H59" s="26">
        <f t="shared" si="2"/>
        <v>0.31250000000000006</v>
      </c>
      <c r="I59" s="23" t="str">
        <f t="shared" si="3"/>
        <v>NO OT</v>
      </c>
    </row>
    <row r="60" spans="1:9" x14ac:dyDescent="0.25">
      <c r="A60" s="23" t="s">
        <v>290</v>
      </c>
      <c r="B60" s="24">
        <v>46056</v>
      </c>
      <c r="C60" s="23" t="str">
        <f t="shared" si="0"/>
        <v>Tuesday</v>
      </c>
      <c r="D60" s="17" t="s">
        <v>264</v>
      </c>
      <c r="E60" s="17" t="s">
        <v>203</v>
      </c>
      <c r="F60" s="17" t="s">
        <v>262</v>
      </c>
      <c r="G60" s="23" t="str">
        <f t="shared" si="1"/>
        <v>LATE</v>
      </c>
      <c r="H60" s="26">
        <f t="shared" si="2"/>
        <v>0.32361111111111113</v>
      </c>
      <c r="I60" s="23" t="str">
        <f t="shared" si="3"/>
        <v>NO OT</v>
      </c>
    </row>
    <row r="61" spans="1:9" x14ac:dyDescent="0.25">
      <c r="A61" s="23" t="s">
        <v>290</v>
      </c>
      <c r="B61" s="24">
        <v>46057</v>
      </c>
      <c r="C61" s="23" t="str">
        <f t="shared" si="0"/>
        <v>Wednesday</v>
      </c>
      <c r="D61" s="17" t="s">
        <v>276</v>
      </c>
      <c r="E61" s="17" t="s">
        <v>214</v>
      </c>
      <c r="F61" s="17" t="s">
        <v>294</v>
      </c>
      <c r="G61" s="23" t="str">
        <f t="shared" si="1"/>
        <v>OK</v>
      </c>
      <c r="H61" s="26">
        <f t="shared" si="2"/>
        <v>0.33611111111111114</v>
      </c>
      <c r="I61" s="23" t="str">
        <f t="shared" si="3"/>
        <v>NO OT</v>
      </c>
    </row>
    <row r="62" spans="1:9" x14ac:dyDescent="0.25">
      <c r="A62" s="23" t="s">
        <v>290</v>
      </c>
      <c r="B62" s="24">
        <v>46058</v>
      </c>
      <c r="C62" s="23" t="str">
        <f t="shared" si="0"/>
        <v>Thursday</v>
      </c>
      <c r="D62" s="17" t="s">
        <v>12</v>
      </c>
      <c r="E62" s="17" t="s">
        <v>12</v>
      </c>
      <c r="F62" s="17" t="s">
        <v>12</v>
      </c>
      <c r="G62" s="23" t="str">
        <f t="shared" si="1"/>
        <v>ABSENT</v>
      </c>
      <c r="H62" s="26">
        <f t="shared" si="2"/>
        <v>-4.1666666666666664E-2</v>
      </c>
      <c r="I62" s="23" t="str">
        <f t="shared" si="3"/>
        <v>NO OT</v>
      </c>
    </row>
    <row r="63" spans="1:9" x14ac:dyDescent="0.25">
      <c r="A63" s="23" t="s">
        <v>290</v>
      </c>
      <c r="B63" s="24">
        <v>46059</v>
      </c>
      <c r="C63" s="23" t="str">
        <f t="shared" si="0"/>
        <v>Friday</v>
      </c>
      <c r="D63" s="17" t="s">
        <v>295</v>
      </c>
      <c r="E63" s="17" t="s">
        <v>296</v>
      </c>
      <c r="F63" s="17" t="s">
        <v>297</v>
      </c>
      <c r="G63" s="23" t="str">
        <f t="shared" si="1"/>
        <v>OK</v>
      </c>
      <c r="H63" s="26">
        <f t="shared" si="2"/>
        <v>0.37916666666666665</v>
      </c>
      <c r="I63" s="23" t="str">
        <f t="shared" si="3"/>
        <v>NO OT</v>
      </c>
    </row>
    <row r="64" spans="1:9" x14ac:dyDescent="0.25">
      <c r="A64" s="23" t="s">
        <v>290</v>
      </c>
      <c r="B64" s="24">
        <v>46060</v>
      </c>
      <c r="C64" s="23" t="str">
        <f t="shared" si="0"/>
        <v>Saturday</v>
      </c>
      <c r="D64" s="17" t="s">
        <v>298</v>
      </c>
      <c r="E64" s="17" t="s">
        <v>217</v>
      </c>
      <c r="F64" s="17" t="s">
        <v>299</v>
      </c>
      <c r="G64" s="23" t="str">
        <f t="shared" si="1"/>
        <v>OK</v>
      </c>
      <c r="H64" s="26">
        <f t="shared" si="2"/>
        <v>0.3527777777777778</v>
      </c>
      <c r="I64" s="23" t="str">
        <f t="shared" si="3"/>
        <v>NO OT</v>
      </c>
    </row>
    <row r="65" spans="1:9" x14ac:dyDescent="0.25">
      <c r="A65" s="23" t="s">
        <v>290</v>
      </c>
      <c r="B65" s="24">
        <v>46061</v>
      </c>
      <c r="C65" s="58" t="str">
        <f>TEXT(B65, "dddd")</f>
        <v>Sunday</v>
      </c>
      <c r="D65" s="59"/>
      <c r="E65" s="59"/>
      <c r="F65" s="59"/>
    </row>
    <row r="66" spans="1:9" x14ac:dyDescent="0.25">
      <c r="A66" s="23" t="s">
        <v>290</v>
      </c>
      <c r="B66" s="24">
        <v>46062</v>
      </c>
      <c r="C66" s="23" t="str">
        <f t="shared" si="0"/>
        <v>Monday</v>
      </c>
      <c r="D66" s="17" t="s">
        <v>300</v>
      </c>
      <c r="E66" s="17" t="s">
        <v>223</v>
      </c>
      <c r="F66" s="17" t="s">
        <v>301</v>
      </c>
      <c r="G66" s="23" t="str">
        <f t="shared" si="1"/>
        <v>OK</v>
      </c>
      <c r="H66" s="26">
        <f t="shared" si="2"/>
        <v>0.34305555555555556</v>
      </c>
      <c r="I66" s="23" t="str">
        <f t="shared" si="3"/>
        <v>NO OT</v>
      </c>
    </row>
    <row r="67" spans="1:9" x14ac:dyDescent="0.25">
      <c r="A67" s="23" t="s">
        <v>290</v>
      </c>
      <c r="B67" s="24">
        <v>46063</v>
      </c>
      <c r="C67" s="23" t="str">
        <f t="shared" ref="C67:C130" si="4">TEXT(B67, "dddd")</f>
        <v>Tuesday</v>
      </c>
      <c r="D67" s="17" t="s">
        <v>302</v>
      </c>
      <c r="E67" s="17" t="s">
        <v>303</v>
      </c>
      <c r="F67" s="17" t="s">
        <v>304</v>
      </c>
      <c r="G67" s="23" t="str">
        <f t="shared" ref="G67:G130" si="5">IF(C67="Sunday", "SUNDAY", IF(OR(D67=0, D67="", D67="0:0"), "ABSENT", IF(MOD(D67,1) &gt; TIME(9,45,0), "LATE", "OK")))</f>
        <v>OK</v>
      </c>
      <c r="H67" s="26">
        <f t="shared" ref="H67:H130" si="6">IF(OR(D67=0, D67="", E67=0, E67=""), 0, (E67-D67)-TIME(1,0,0))</f>
        <v>0.34583333333333338</v>
      </c>
      <c r="I67" s="23" t="str">
        <f t="shared" ref="I67:I130" si="7">IF(VALUE(E67) &gt; TIME(19,0,0), TEXT(VALUE(E67) - TIME(19,0,0), "hh:mm"), "NO OT")</f>
        <v>NO OT</v>
      </c>
    </row>
    <row r="68" spans="1:9" x14ac:dyDescent="0.25">
      <c r="A68" s="23" t="s">
        <v>290</v>
      </c>
      <c r="B68" s="24">
        <v>46064</v>
      </c>
      <c r="C68" s="23" t="str">
        <f t="shared" si="4"/>
        <v>Wednesday</v>
      </c>
      <c r="D68" s="17" t="s">
        <v>305</v>
      </c>
      <c r="E68" s="17" t="s">
        <v>259</v>
      </c>
      <c r="F68" s="17" t="s">
        <v>306</v>
      </c>
      <c r="G68" s="23" t="str">
        <f t="shared" si="5"/>
        <v>OK</v>
      </c>
      <c r="H68" s="26">
        <f t="shared" si="6"/>
        <v>0.32500000000000001</v>
      </c>
      <c r="I68" s="23" t="str">
        <f t="shared" si="7"/>
        <v>NO OT</v>
      </c>
    </row>
    <row r="69" spans="1:9" x14ac:dyDescent="0.25">
      <c r="A69" s="23" t="s">
        <v>290</v>
      </c>
      <c r="B69" s="24">
        <v>46065</v>
      </c>
      <c r="C69" s="23" t="str">
        <f t="shared" si="4"/>
        <v>Thursday</v>
      </c>
      <c r="D69" s="17" t="s">
        <v>229</v>
      </c>
      <c r="E69" s="17" t="s">
        <v>190</v>
      </c>
      <c r="F69" s="17" t="s">
        <v>271</v>
      </c>
      <c r="G69" s="23" t="str">
        <f t="shared" si="5"/>
        <v>LATE</v>
      </c>
      <c r="H69" s="26">
        <f t="shared" si="6"/>
        <v>0.32083333333333336</v>
      </c>
      <c r="I69" s="23" t="str">
        <f t="shared" si="7"/>
        <v>NO OT</v>
      </c>
    </row>
    <row r="70" spans="1:9" x14ac:dyDescent="0.25">
      <c r="A70" s="23" t="s">
        <v>290</v>
      </c>
      <c r="B70" s="24">
        <v>46066</v>
      </c>
      <c r="C70" s="23" t="str">
        <f t="shared" si="4"/>
        <v>Friday</v>
      </c>
      <c r="D70" s="17" t="s">
        <v>202</v>
      </c>
      <c r="E70" s="17" t="s">
        <v>292</v>
      </c>
      <c r="F70" s="17" t="s">
        <v>307</v>
      </c>
      <c r="G70" s="23" t="str">
        <f t="shared" si="5"/>
        <v>OK</v>
      </c>
      <c r="H70" s="26">
        <f t="shared" si="6"/>
        <v>0.3305555555555556</v>
      </c>
      <c r="I70" s="23" t="str">
        <f t="shared" si="7"/>
        <v>NO OT</v>
      </c>
    </row>
    <row r="71" spans="1:9" x14ac:dyDescent="0.25">
      <c r="A71" s="23" t="s">
        <v>290</v>
      </c>
      <c r="B71" s="24">
        <v>46067</v>
      </c>
      <c r="C71" s="23" t="str">
        <f t="shared" si="4"/>
        <v>Saturday</v>
      </c>
      <c r="D71" s="17" t="s">
        <v>260</v>
      </c>
      <c r="E71" s="17" t="s">
        <v>308</v>
      </c>
      <c r="F71" s="17" t="s">
        <v>309</v>
      </c>
      <c r="G71" s="23" t="str">
        <f t="shared" si="5"/>
        <v>OK</v>
      </c>
      <c r="H71" s="26">
        <f t="shared" si="6"/>
        <v>0.46875000000000006</v>
      </c>
      <c r="I71" s="23" t="str">
        <f t="shared" si="7"/>
        <v>02:43</v>
      </c>
    </row>
    <row r="72" spans="1:9" x14ac:dyDescent="0.25">
      <c r="A72" s="23" t="s">
        <v>290</v>
      </c>
      <c r="B72" s="24">
        <v>46068</v>
      </c>
      <c r="C72" s="58" t="str">
        <f>TEXT(B72, "dddd")</f>
        <v>Sunday</v>
      </c>
      <c r="D72" s="59"/>
      <c r="E72" s="59"/>
      <c r="F72" s="59"/>
    </row>
    <row r="73" spans="1:9" x14ac:dyDescent="0.25">
      <c r="A73" s="23" t="s">
        <v>290</v>
      </c>
      <c r="B73" s="24">
        <v>46069</v>
      </c>
      <c r="C73" s="23" t="str">
        <f t="shared" si="4"/>
        <v>Monday</v>
      </c>
      <c r="D73" s="17" t="s">
        <v>219</v>
      </c>
      <c r="E73" s="17" t="s">
        <v>212</v>
      </c>
      <c r="F73" s="17" t="s">
        <v>191</v>
      </c>
      <c r="G73" s="23" t="str">
        <f t="shared" si="5"/>
        <v>OK</v>
      </c>
      <c r="H73" s="26">
        <f t="shared" si="6"/>
        <v>0.32916666666666666</v>
      </c>
      <c r="I73" s="23" t="str">
        <f t="shared" si="7"/>
        <v>NO OT</v>
      </c>
    </row>
    <row r="74" spans="1:9" x14ac:dyDescent="0.25">
      <c r="A74" s="23" t="s">
        <v>290</v>
      </c>
      <c r="B74" s="24">
        <v>46070</v>
      </c>
      <c r="C74" s="23" t="str">
        <f t="shared" si="4"/>
        <v>Tuesday</v>
      </c>
      <c r="D74" s="17" t="s">
        <v>310</v>
      </c>
      <c r="E74" s="17" t="s">
        <v>311</v>
      </c>
      <c r="F74" s="17" t="s">
        <v>257</v>
      </c>
      <c r="G74" s="23" t="str">
        <f t="shared" si="5"/>
        <v>OK</v>
      </c>
      <c r="H74" s="26">
        <f t="shared" si="6"/>
        <v>0.3298611111111111</v>
      </c>
      <c r="I74" s="23" t="str">
        <f t="shared" si="7"/>
        <v>NO OT</v>
      </c>
    </row>
    <row r="75" spans="1:9" x14ac:dyDescent="0.25">
      <c r="A75" s="23" t="s">
        <v>290</v>
      </c>
      <c r="B75" s="24">
        <v>46071</v>
      </c>
      <c r="C75" s="23" t="str">
        <f t="shared" si="4"/>
        <v>Wednesday</v>
      </c>
      <c r="D75" s="17" t="s">
        <v>219</v>
      </c>
      <c r="E75" s="17" t="s">
        <v>312</v>
      </c>
      <c r="F75" s="17" t="s">
        <v>263</v>
      </c>
      <c r="G75" s="23" t="str">
        <f t="shared" si="5"/>
        <v>OK</v>
      </c>
      <c r="H75" s="26">
        <f t="shared" si="6"/>
        <v>0.34652777777777771</v>
      </c>
      <c r="I75" s="23" t="str">
        <f t="shared" si="7"/>
        <v>NO OT</v>
      </c>
    </row>
    <row r="76" spans="1:9" x14ac:dyDescent="0.25">
      <c r="A76" s="23" t="s">
        <v>290</v>
      </c>
      <c r="B76" s="24">
        <v>46072</v>
      </c>
      <c r="C76" s="23" t="str">
        <f t="shared" si="4"/>
        <v>Thursday</v>
      </c>
      <c r="D76" s="17" t="s">
        <v>313</v>
      </c>
      <c r="E76" s="17" t="s">
        <v>12</v>
      </c>
      <c r="F76" s="17" t="s">
        <v>188</v>
      </c>
      <c r="G76" s="23" t="str">
        <f t="shared" si="5"/>
        <v>LATE</v>
      </c>
      <c r="H76" s="26">
        <f t="shared" si="6"/>
        <v>-0.78819444444444442</v>
      </c>
      <c r="I76" s="23" t="str">
        <f t="shared" si="7"/>
        <v>NO OT</v>
      </c>
    </row>
    <row r="77" spans="1:9" x14ac:dyDescent="0.25">
      <c r="A77" s="23" t="s">
        <v>290</v>
      </c>
      <c r="B77" s="24">
        <v>46073</v>
      </c>
      <c r="C77" s="23" t="str">
        <f t="shared" si="4"/>
        <v>Friday</v>
      </c>
      <c r="D77" s="17" t="s">
        <v>12</v>
      </c>
      <c r="E77" s="17" t="s">
        <v>12</v>
      </c>
      <c r="F77" s="17" t="s">
        <v>12</v>
      </c>
      <c r="G77" s="23" t="str">
        <f t="shared" si="5"/>
        <v>ABSENT</v>
      </c>
      <c r="H77" s="26">
        <f t="shared" si="6"/>
        <v>-4.1666666666666664E-2</v>
      </c>
      <c r="I77" s="23" t="str">
        <f t="shared" si="7"/>
        <v>NO OT</v>
      </c>
    </row>
    <row r="78" spans="1:9" x14ac:dyDescent="0.25">
      <c r="A78" s="23" t="s">
        <v>290</v>
      </c>
      <c r="B78" s="24">
        <v>46074</v>
      </c>
      <c r="C78" s="23" t="str">
        <f t="shared" si="4"/>
        <v>Saturday</v>
      </c>
      <c r="D78" s="17" t="s">
        <v>260</v>
      </c>
      <c r="E78" s="17" t="s">
        <v>12</v>
      </c>
      <c r="F78" s="17" t="s">
        <v>188</v>
      </c>
      <c r="G78" s="23" t="str">
        <f t="shared" si="5"/>
        <v>OK</v>
      </c>
      <c r="H78" s="26">
        <f t="shared" si="6"/>
        <v>-0.43611111111111112</v>
      </c>
      <c r="I78" s="23" t="str">
        <f t="shared" si="7"/>
        <v>NO OT</v>
      </c>
    </row>
    <row r="79" spans="1:9" x14ac:dyDescent="0.25">
      <c r="A79" s="23" t="s">
        <v>290</v>
      </c>
      <c r="B79" s="24">
        <v>46075</v>
      </c>
      <c r="C79" s="58" t="str">
        <f>TEXT(B79, "dddd")</f>
        <v>Sunday</v>
      </c>
      <c r="D79" s="59"/>
      <c r="E79" s="59"/>
      <c r="F79" s="59"/>
    </row>
    <row r="80" spans="1:9" x14ac:dyDescent="0.25">
      <c r="A80" s="23" t="s">
        <v>290</v>
      </c>
      <c r="B80" s="24">
        <v>46076</v>
      </c>
      <c r="C80" s="23" t="str">
        <f t="shared" si="4"/>
        <v>Monday</v>
      </c>
      <c r="D80" s="17" t="s">
        <v>288</v>
      </c>
      <c r="E80" s="17" t="s">
        <v>254</v>
      </c>
      <c r="F80" s="17" t="s">
        <v>314</v>
      </c>
      <c r="G80" s="23" t="str">
        <f t="shared" si="5"/>
        <v>OK</v>
      </c>
      <c r="H80" s="26">
        <f t="shared" si="6"/>
        <v>0.34444444444444444</v>
      </c>
      <c r="I80" s="23" t="str">
        <f t="shared" si="7"/>
        <v>NO OT</v>
      </c>
    </row>
    <row r="81" spans="1:9" x14ac:dyDescent="0.25">
      <c r="A81" s="23" t="s">
        <v>290</v>
      </c>
      <c r="B81" s="24">
        <v>46077</v>
      </c>
      <c r="C81" s="23" t="str">
        <f t="shared" si="4"/>
        <v>Tuesday</v>
      </c>
      <c r="D81" s="17" t="s">
        <v>315</v>
      </c>
      <c r="E81" s="17" t="s">
        <v>261</v>
      </c>
      <c r="F81" s="17" t="s">
        <v>316</v>
      </c>
      <c r="G81" s="23" t="str">
        <f t="shared" si="5"/>
        <v>OK</v>
      </c>
      <c r="H81" s="26">
        <f t="shared" si="6"/>
        <v>0.31874999999999992</v>
      </c>
      <c r="I81" s="23" t="str">
        <f t="shared" si="7"/>
        <v>NO OT</v>
      </c>
    </row>
    <row r="82" spans="1:9" x14ac:dyDescent="0.25">
      <c r="A82" s="23" t="s">
        <v>290</v>
      </c>
      <c r="B82" s="24">
        <v>46078</v>
      </c>
      <c r="C82" s="23" t="str">
        <f t="shared" si="4"/>
        <v>Wednesday</v>
      </c>
      <c r="D82" s="17" t="s">
        <v>202</v>
      </c>
      <c r="E82" s="17" t="s">
        <v>317</v>
      </c>
      <c r="F82" s="17" t="s">
        <v>316</v>
      </c>
      <c r="G82" s="23" t="str">
        <f t="shared" si="5"/>
        <v>OK</v>
      </c>
      <c r="H82" s="26">
        <f t="shared" si="6"/>
        <v>0.31874999999999998</v>
      </c>
      <c r="I82" s="23" t="str">
        <f t="shared" si="7"/>
        <v>NO OT</v>
      </c>
    </row>
    <row r="83" spans="1:9" x14ac:dyDescent="0.25">
      <c r="A83" s="23" t="s">
        <v>290</v>
      </c>
      <c r="B83" s="24">
        <v>46079</v>
      </c>
      <c r="C83" s="23" t="str">
        <f t="shared" si="4"/>
        <v>Thursday</v>
      </c>
      <c r="D83" s="17" t="s">
        <v>305</v>
      </c>
      <c r="E83" s="17" t="s">
        <v>318</v>
      </c>
      <c r="F83" s="17" t="s">
        <v>273</v>
      </c>
      <c r="G83" s="23" t="str">
        <f t="shared" si="5"/>
        <v>OK</v>
      </c>
      <c r="H83" s="26">
        <f t="shared" si="6"/>
        <v>0.30277777777777776</v>
      </c>
      <c r="I83" s="23" t="str">
        <f t="shared" si="7"/>
        <v>NO OT</v>
      </c>
    </row>
    <row r="84" spans="1:9" x14ac:dyDescent="0.25">
      <c r="A84" s="23" t="s">
        <v>290</v>
      </c>
      <c r="B84" s="24">
        <v>46080</v>
      </c>
      <c r="C84" s="23" t="str">
        <f t="shared" si="4"/>
        <v>Friday</v>
      </c>
      <c r="D84" s="17" t="s">
        <v>256</v>
      </c>
      <c r="E84" s="17" t="s">
        <v>319</v>
      </c>
      <c r="F84" s="17" t="s">
        <v>268</v>
      </c>
      <c r="G84" s="23" t="str">
        <f t="shared" si="5"/>
        <v>OK</v>
      </c>
      <c r="H84" s="26">
        <f t="shared" si="6"/>
        <v>0.32013888888888886</v>
      </c>
      <c r="I84" s="23" t="str">
        <f t="shared" si="7"/>
        <v>NO OT</v>
      </c>
    </row>
    <row r="85" spans="1:9" x14ac:dyDescent="0.25">
      <c r="A85" s="23" t="s">
        <v>290</v>
      </c>
      <c r="B85" s="24">
        <v>46081</v>
      </c>
      <c r="C85" s="23" t="str">
        <f t="shared" si="4"/>
        <v>Saturday</v>
      </c>
      <c r="D85" s="17" t="s">
        <v>95</v>
      </c>
      <c r="E85" s="17" t="s">
        <v>95</v>
      </c>
      <c r="F85" s="17" t="s">
        <v>95</v>
      </c>
      <c r="G85" s="23" t="str">
        <f t="shared" si="5"/>
        <v>ABSENT</v>
      </c>
      <c r="H85" s="26">
        <f t="shared" si="6"/>
        <v>0</v>
      </c>
      <c r="I85" s="23" t="e">
        <f t="shared" si="7"/>
        <v>#VALUE!</v>
      </c>
    </row>
    <row r="86" spans="1:9" x14ac:dyDescent="0.25">
      <c r="A86" s="23" t="s">
        <v>320</v>
      </c>
      <c r="B86" s="24">
        <v>46054</v>
      </c>
      <c r="C86" s="58" t="str">
        <f>TEXT(B86, "dddd")</f>
        <v>Sunday</v>
      </c>
      <c r="D86" s="59"/>
      <c r="E86" s="59"/>
      <c r="F86" s="59"/>
    </row>
    <row r="87" spans="1:9" x14ac:dyDescent="0.25">
      <c r="A87" s="23" t="s">
        <v>320</v>
      </c>
      <c r="B87" s="24">
        <v>46055</v>
      </c>
      <c r="C87" s="23" t="str">
        <f t="shared" si="4"/>
        <v>Monday</v>
      </c>
      <c r="D87" s="17" t="s">
        <v>216</v>
      </c>
      <c r="E87" s="17" t="s">
        <v>292</v>
      </c>
      <c r="F87" s="17" t="s">
        <v>321</v>
      </c>
      <c r="G87" s="23" t="str">
        <f t="shared" si="5"/>
        <v>LATE</v>
      </c>
      <c r="H87" s="26">
        <f t="shared" si="6"/>
        <v>0.31597222222222227</v>
      </c>
      <c r="I87" s="23" t="str">
        <f t="shared" si="7"/>
        <v>NO OT</v>
      </c>
    </row>
    <row r="88" spans="1:9" x14ac:dyDescent="0.25">
      <c r="A88" s="23" t="s">
        <v>320</v>
      </c>
      <c r="B88" s="24">
        <v>46056</v>
      </c>
      <c r="C88" s="23" t="str">
        <f t="shared" si="4"/>
        <v>Tuesday</v>
      </c>
      <c r="D88" s="17" t="s">
        <v>291</v>
      </c>
      <c r="E88" s="17" t="s">
        <v>217</v>
      </c>
      <c r="F88" s="17" t="s">
        <v>271</v>
      </c>
      <c r="G88" s="23" t="str">
        <f t="shared" si="5"/>
        <v>LATE</v>
      </c>
      <c r="H88" s="26">
        <f t="shared" si="6"/>
        <v>0.32083333333333336</v>
      </c>
      <c r="I88" s="23" t="str">
        <f t="shared" si="7"/>
        <v>NO OT</v>
      </c>
    </row>
    <row r="89" spans="1:9" x14ac:dyDescent="0.25">
      <c r="A89" s="23" t="s">
        <v>320</v>
      </c>
      <c r="B89" s="24">
        <v>46057</v>
      </c>
      <c r="C89" s="23" t="str">
        <f t="shared" si="4"/>
        <v>Wednesday</v>
      </c>
      <c r="D89" s="17" t="s">
        <v>322</v>
      </c>
      <c r="E89" s="17" t="s">
        <v>209</v>
      </c>
      <c r="F89" s="17" t="s">
        <v>321</v>
      </c>
      <c r="G89" s="23" t="str">
        <f t="shared" si="5"/>
        <v>LATE</v>
      </c>
      <c r="H89" s="26">
        <f t="shared" si="6"/>
        <v>0.31597222222222227</v>
      </c>
      <c r="I89" s="23" t="str">
        <f t="shared" si="7"/>
        <v>NO OT</v>
      </c>
    </row>
    <row r="90" spans="1:9" x14ac:dyDescent="0.25">
      <c r="A90" s="23" t="s">
        <v>320</v>
      </c>
      <c r="B90" s="24">
        <v>46058</v>
      </c>
      <c r="C90" s="23" t="str">
        <f t="shared" si="4"/>
        <v>Thursday</v>
      </c>
      <c r="D90" s="17" t="s">
        <v>165</v>
      </c>
      <c r="E90" s="17" t="s">
        <v>209</v>
      </c>
      <c r="F90" s="17" t="s">
        <v>323</v>
      </c>
      <c r="G90" s="23" t="str">
        <f t="shared" si="5"/>
        <v>LATE</v>
      </c>
      <c r="H90" s="26">
        <f t="shared" si="6"/>
        <v>0.30555555555555558</v>
      </c>
      <c r="I90" s="23" t="str">
        <f t="shared" si="7"/>
        <v>NO OT</v>
      </c>
    </row>
    <row r="91" spans="1:9" x14ac:dyDescent="0.25">
      <c r="A91" s="23" t="s">
        <v>320</v>
      </c>
      <c r="B91" s="24">
        <v>46059</v>
      </c>
      <c r="C91" s="23" t="str">
        <f t="shared" si="4"/>
        <v>Friday</v>
      </c>
      <c r="D91" s="17" t="s">
        <v>161</v>
      </c>
      <c r="E91" s="17" t="s">
        <v>190</v>
      </c>
      <c r="F91" s="17" t="s">
        <v>293</v>
      </c>
      <c r="G91" s="23" t="str">
        <f t="shared" si="5"/>
        <v>LATE</v>
      </c>
      <c r="H91" s="26">
        <f t="shared" si="6"/>
        <v>0.3125</v>
      </c>
      <c r="I91" s="23" t="str">
        <f t="shared" si="7"/>
        <v>NO OT</v>
      </c>
    </row>
    <row r="92" spans="1:9" x14ac:dyDescent="0.25">
      <c r="A92" s="23" t="s">
        <v>320</v>
      </c>
      <c r="B92" s="24">
        <v>46060</v>
      </c>
      <c r="C92" s="23" t="str">
        <f t="shared" si="4"/>
        <v>Saturday</v>
      </c>
      <c r="D92" s="17" t="s">
        <v>291</v>
      </c>
      <c r="E92" s="17" t="s">
        <v>317</v>
      </c>
      <c r="F92" s="17" t="s">
        <v>324</v>
      </c>
      <c r="G92" s="23" t="str">
        <f t="shared" si="5"/>
        <v>LATE</v>
      </c>
      <c r="H92" s="26">
        <f t="shared" si="6"/>
        <v>0.30069444444444443</v>
      </c>
      <c r="I92" s="23" t="str">
        <f t="shared" si="7"/>
        <v>NO OT</v>
      </c>
    </row>
    <row r="93" spans="1:9" x14ac:dyDescent="0.25">
      <c r="A93" s="23" t="s">
        <v>320</v>
      </c>
      <c r="B93" s="24">
        <v>46061</v>
      </c>
      <c r="C93" s="58" t="str">
        <f>TEXT(B93, "dddd")</f>
        <v>Sunday</v>
      </c>
      <c r="D93" s="59"/>
      <c r="E93" s="59"/>
      <c r="F93" s="59"/>
    </row>
    <row r="94" spans="1:9" x14ac:dyDescent="0.25">
      <c r="A94" s="23" t="s">
        <v>320</v>
      </c>
      <c r="B94" s="24">
        <v>46062</v>
      </c>
      <c r="C94" s="23" t="str">
        <f t="shared" si="4"/>
        <v>Monday</v>
      </c>
      <c r="D94" s="17" t="s">
        <v>264</v>
      </c>
      <c r="E94" s="17" t="s">
        <v>311</v>
      </c>
      <c r="F94" s="17" t="s">
        <v>316</v>
      </c>
      <c r="G94" s="23" t="str">
        <f t="shared" si="5"/>
        <v>LATE</v>
      </c>
      <c r="H94" s="26">
        <f t="shared" si="6"/>
        <v>0.31875000000000003</v>
      </c>
      <c r="I94" s="23" t="str">
        <f t="shared" si="7"/>
        <v>NO OT</v>
      </c>
    </row>
    <row r="95" spans="1:9" x14ac:dyDescent="0.25">
      <c r="A95" s="23" t="s">
        <v>320</v>
      </c>
      <c r="B95" s="24">
        <v>46063</v>
      </c>
      <c r="C95" s="23" t="str">
        <f t="shared" si="4"/>
        <v>Tuesday</v>
      </c>
      <c r="D95" s="17" t="s">
        <v>325</v>
      </c>
      <c r="E95" s="17" t="s">
        <v>303</v>
      </c>
      <c r="F95" s="17" t="s">
        <v>326</v>
      </c>
      <c r="G95" s="23" t="str">
        <f t="shared" si="5"/>
        <v>LATE</v>
      </c>
      <c r="H95" s="26">
        <f t="shared" si="6"/>
        <v>0.31388888888888894</v>
      </c>
      <c r="I95" s="23" t="str">
        <f t="shared" si="7"/>
        <v>NO OT</v>
      </c>
    </row>
    <row r="96" spans="1:9" x14ac:dyDescent="0.25">
      <c r="A96" s="23" t="s">
        <v>320</v>
      </c>
      <c r="B96" s="24">
        <v>46064</v>
      </c>
      <c r="C96" s="23" t="str">
        <f t="shared" si="4"/>
        <v>Wednesday</v>
      </c>
      <c r="D96" s="17" t="s">
        <v>305</v>
      </c>
      <c r="E96" s="17" t="s">
        <v>209</v>
      </c>
      <c r="F96" s="17" t="s">
        <v>327</v>
      </c>
      <c r="G96" s="23" t="str">
        <f t="shared" si="5"/>
        <v>OK</v>
      </c>
      <c r="H96" s="26">
        <f t="shared" si="6"/>
        <v>0.32222222222222224</v>
      </c>
      <c r="I96" s="23" t="str">
        <f t="shared" si="7"/>
        <v>NO OT</v>
      </c>
    </row>
    <row r="97" spans="1:9" x14ac:dyDescent="0.25">
      <c r="A97" s="23" t="s">
        <v>320</v>
      </c>
      <c r="B97" s="24">
        <v>46065</v>
      </c>
      <c r="C97" s="23" t="str">
        <f t="shared" si="4"/>
        <v>Thursday</v>
      </c>
      <c r="D97" s="17" t="s">
        <v>199</v>
      </c>
      <c r="E97" s="17" t="s">
        <v>328</v>
      </c>
      <c r="F97" s="17" t="s">
        <v>196</v>
      </c>
      <c r="G97" s="23" t="str">
        <f t="shared" si="5"/>
        <v>LATE</v>
      </c>
      <c r="H97" s="26">
        <f t="shared" si="6"/>
        <v>0.26041666666666669</v>
      </c>
      <c r="I97" s="23" t="str">
        <f t="shared" si="7"/>
        <v>NO OT</v>
      </c>
    </row>
    <row r="98" spans="1:9" x14ac:dyDescent="0.25">
      <c r="A98" s="23" t="s">
        <v>320</v>
      </c>
      <c r="B98" s="24">
        <v>46066</v>
      </c>
      <c r="C98" s="23" t="str">
        <f t="shared" si="4"/>
        <v>Friday</v>
      </c>
      <c r="D98" s="17" t="s">
        <v>140</v>
      </c>
      <c r="E98" s="17" t="s">
        <v>292</v>
      </c>
      <c r="F98" s="17" t="s">
        <v>329</v>
      </c>
      <c r="G98" s="23" t="str">
        <f t="shared" si="5"/>
        <v>LATE</v>
      </c>
      <c r="H98" s="26">
        <f t="shared" si="6"/>
        <v>0.30486111111111114</v>
      </c>
      <c r="I98" s="23" t="str">
        <f t="shared" si="7"/>
        <v>NO OT</v>
      </c>
    </row>
    <row r="99" spans="1:9" x14ac:dyDescent="0.25">
      <c r="A99" s="23" t="s">
        <v>320</v>
      </c>
      <c r="B99" s="24">
        <v>46067</v>
      </c>
      <c r="C99" s="23" t="str">
        <f t="shared" si="4"/>
        <v>Saturday</v>
      </c>
      <c r="D99" s="17" t="s">
        <v>325</v>
      </c>
      <c r="E99" s="17" t="s">
        <v>311</v>
      </c>
      <c r="F99" s="17" t="s">
        <v>271</v>
      </c>
      <c r="G99" s="23" t="str">
        <f t="shared" si="5"/>
        <v>LATE</v>
      </c>
      <c r="H99" s="26">
        <f t="shared" si="6"/>
        <v>0.32083333333333336</v>
      </c>
      <c r="I99" s="23" t="str">
        <f t="shared" si="7"/>
        <v>NO OT</v>
      </c>
    </row>
    <row r="100" spans="1:9" x14ac:dyDescent="0.25">
      <c r="A100" s="23" t="s">
        <v>320</v>
      </c>
      <c r="B100" s="24">
        <v>46068</v>
      </c>
      <c r="C100" s="58" t="str">
        <f>TEXT(B100, "dddd")</f>
        <v>Sunday</v>
      </c>
      <c r="D100" s="59"/>
      <c r="E100" s="59"/>
      <c r="F100" s="59"/>
    </row>
    <row r="101" spans="1:9" x14ac:dyDescent="0.25">
      <c r="A101" s="23" t="s">
        <v>320</v>
      </c>
      <c r="B101" s="24">
        <v>46069</v>
      </c>
      <c r="C101" s="23" t="str">
        <f t="shared" si="4"/>
        <v>Monday</v>
      </c>
      <c r="D101" s="17" t="s">
        <v>330</v>
      </c>
      <c r="E101" s="17" t="s">
        <v>214</v>
      </c>
      <c r="F101" s="17" t="s">
        <v>331</v>
      </c>
      <c r="G101" s="23" t="str">
        <f t="shared" si="5"/>
        <v>LATE</v>
      </c>
      <c r="H101" s="26">
        <f t="shared" si="6"/>
        <v>0.31111111111111112</v>
      </c>
      <c r="I101" s="23" t="str">
        <f t="shared" si="7"/>
        <v>NO OT</v>
      </c>
    </row>
    <row r="102" spans="1:9" x14ac:dyDescent="0.25">
      <c r="A102" s="23" t="s">
        <v>320</v>
      </c>
      <c r="B102" s="24">
        <v>46070</v>
      </c>
      <c r="C102" s="23" t="str">
        <f t="shared" si="4"/>
        <v>Tuesday</v>
      </c>
      <c r="D102" s="17" t="s">
        <v>291</v>
      </c>
      <c r="E102" s="17" t="s">
        <v>212</v>
      </c>
      <c r="F102" s="17" t="s">
        <v>321</v>
      </c>
      <c r="G102" s="23" t="str">
        <f t="shared" si="5"/>
        <v>LATE</v>
      </c>
      <c r="H102" s="26">
        <f t="shared" si="6"/>
        <v>0.31597222222222227</v>
      </c>
      <c r="I102" s="23" t="str">
        <f t="shared" si="7"/>
        <v>NO OT</v>
      </c>
    </row>
    <row r="103" spans="1:9" x14ac:dyDescent="0.25">
      <c r="A103" s="23" t="s">
        <v>320</v>
      </c>
      <c r="B103" s="24">
        <v>46071</v>
      </c>
      <c r="C103" s="23" t="str">
        <f t="shared" si="4"/>
        <v>Wednesday</v>
      </c>
      <c r="D103" s="17" t="s">
        <v>332</v>
      </c>
      <c r="E103" s="17" t="s">
        <v>193</v>
      </c>
      <c r="F103" s="17" t="s">
        <v>271</v>
      </c>
      <c r="G103" s="23" t="str">
        <f t="shared" si="5"/>
        <v>LATE</v>
      </c>
      <c r="H103" s="26">
        <f t="shared" si="6"/>
        <v>0.3208333333333333</v>
      </c>
      <c r="I103" s="23" t="str">
        <f t="shared" si="7"/>
        <v>NO OT</v>
      </c>
    </row>
    <row r="104" spans="1:9" x14ac:dyDescent="0.25">
      <c r="A104" s="23" t="s">
        <v>320</v>
      </c>
      <c r="B104" s="24">
        <v>46072</v>
      </c>
      <c r="C104" s="23" t="str">
        <f t="shared" si="4"/>
        <v>Thursday</v>
      </c>
      <c r="D104" s="17" t="s">
        <v>332</v>
      </c>
      <c r="E104" s="17" t="s">
        <v>12</v>
      </c>
      <c r="F104" s="17" t="s">
        <v>188</v>
      </c>
      <c r="G104" s="23" t="str">
        <f t="shared" si="5"/>
        <v>LATE</v>
      </c>
      <c r="H104" s="26">
        <f t="shared" si="6"/>
        <v>-0.45694444444444449</v>
      </c>
      <c r="I104" s="23" t="str">
        <f t="shared" si="7"/>
        <v>NO OT</v>
      </c>
    </row>
    <row r="105" spans="1:9" x14ac:dyDescent="0.25">
      <c r="A105" s="23" t="s">
        <v>320</v>
      </c>
      <c r="B105" s="24">
        <v>46073</v>
      </c>
      <c r="C105" s="23" t="str">
        <f t="shared" si="4"/>
        <v>Friday</v>
      </c>
      <c r="D105" s="17" t="s">
        <v>264</v>
      </c>
      <c r="E105" s="17" t="s">
        <v>333</v>
      </c>
      <c r="F105" s="17" t="s">
        <v>321</v>
      </c>
      <c r="G105" s="23" t="str">
        <f t="shared" si="5"/>
        <v>LATE</v>
      </c>
      <c r="H105" s="26">
        <f t="shared" si="6"/>
        <v>0.31597222222222227</v>
      </c>
      <c r="I105" s="23" t="str">
        <f t="shared" si="7"/>
        <v>NO OT</v>
      </c>
    </row>
    <row r="106" spans="1:9" x14ac:dyDescent="0.25">
      <c r="A106" s="23" t="s">
        <v>320</v>
      </c>
      <c r="B106" s="24">
        <v>46074</v>
      </c>
      <c r="C106" s="23" t="str">
        <f t="shared" si="4"/>
        <v>Saturday</v>
      </c>
      <c r="D106" s="17" t="s">
        <v>229</v>
      </c>
      <c r="E106" s="17" t="s">
        <v>334</v>
      </c>
      <c r="F106" s="17" t="s">
        <v>335</v>
      </c>
      <c r="G106" s="23" t="str">
        <f t="shared" si="5"/>
        <v>LATE</v>
      </c>
      <c r="H106" s="26">
        <f t="shared" si="6"/>
        <v>0.3118055555555555</v>
      </c>
      <c r="I106" s="23" t="str">
        <f t="shared" si="7"/>
        <v>NO OT</v>
      </c>
    </row>
    <row r="107" spans="1:9" x14ac:dyDescent="0.25">
      <c r="A107" s="23" t="s">
        <v>320</v>
      </c>
      <c r="B107" s="24">
        <v>46075</v>
      </c>
      <c r="C107" s="58" t="str">
        <f>TEXT(B107, "dddd")</f>
        <v>Sunday</v>
      </c>
      <c r="D107" s="59"/>
      <c r="E107" s="59"/>
      <c r="F107" s="59"/>
    </row>
    <row r="108" spans="1:9" x14ac:dyDescent="0.25">
      <c r="A108" s="23" t="s">
        <v>320</v>
      </c>
      <c r="B108" s="24">
        <v>46076</v>
      </c>
      <c r="C108" s="23" t="str">
        <f t="shared" si="4"/>
        <v>Monday</v>
      </c>
      <c r="D108" s="17" t="s">
        <v>216</v>
      </c>
      <c r="E108" s="17" t="s">
        <v>209</v>
      </c>
      <c r="F108" s="17" t="s">
        <v>215</v>
      </c>
      <c r="G108" s="23" t="str">
        <f t="shared" si="5"/>
        <v>LATE</v>
      </c>
      <c r="H108" s="26">
        <f t="shared" si="6"/>
        <v>0.31805555555555559</v>
      </c>
      <c r="I108" s="23" t="str">
        <f t="shared" si="7"/>
        <v>NO OT</v>
      </c>
    </row>
    <row r="109" spans="1:9" x14ac:dyDescent="0.25">
      <c r="A109" s="23" t="s">
        <v>320</v>
      </c>
      <c r="B109" s="24">
        <v>46077</v>
      </c>
      <c r="C109" s="23" t="str">
        <f t="shared" si="4"/>
        <v>Tuesday</v>
      </c>
      <c r="D109" s="17" t="s">
        <v>12</v>
      </c>
      <c r="E109" s="17" t="s">
        <v>12</v>
      </c>
      <c r="F109" s="17" t="s">
        <v>12</v>
      </c>
      <c r="G109" s="23" t="str">
        <f t="shared" si="5"/>
        <v>ABSENT</v>
      </c>
      <c r="H109" s="26">
        <f t="shared" si="6"/>
        <v>-4.1666666666666664E-2</v>
      </c>
      <c r="I109" s="23" t="str">
        <f t="shared" si="7"/>
        <v>NO OT</v>
      </c>
    </row>
    <row r="110" spans="1:9" x14ac:dyDescent="0.25">
      <c r="A110" s="23" t="s">
        <v>320</v>
      </c>
      <c r="B110" s="24">
        <v>46078</v>
      </c>
      <c r="C110" s="23" t="str">
        <f t="shared" si="4"/>
        <v>Wednesday</v>
      </c>
      <c r="D110" s="17" t="s">
        <v>255</v>
      </c>
      <c r="E110" s="17" t="s">
        <v>336</v>
      </c>
      <c r="F110" s="17" t="s">
        <v>337</v>
      </c>
      <c r="G110" s="23" t="str">
        <f t="shared" si="5"/>
        <v>OK</v>
      </c>
      <c r="H110" s="26">
        <f t="shared" si="6"/>
        <v>0.30694444444444441</v>
      </c>
      <c r="I110" s="23" t="str">
        <f t="shared" si="7"/>
        <v>NO OT</v>
      </c>
    </row>
    <row r="111" spans="1:9" x14ac:dyDescent="0.25">
      <c r="A111" s="23" t="s">
        <v>320</v>
      </c>
      <c r="B111" s="24">
        <v>46079</v>
      </c>
      <c r="C111" s="23" t="str">
        <f t="shared" si="4"/>
        <v>Thursday</v>
      </c>
      <c r="D111" s="17" t="s">
        <v>199</v>
      </c>
      <c r="E111" s="17" t="s">
        <v>318</v>
      </c>
      <c r="F111" s="17" t="s">
        <v>338</v>
      </c>
      <c r="G111" s="23" t="str">
        <f t="shared" si="5"/>
        <v>LATE</v>
      </c>
      <c r="H111" s="26">
        <f t="shared" si="6"/>
        <v>0.3</v>
      </c>
      <c r="I111" s="23" t="str">
        <f t="shared" si="7"/>
        <v>NO OT</v>
      </c>
    </row>
    <row r="112" spans="1:9" x14ac:dyDescent="0.25">
      <c r="A112" s="23" t="s">
        <v>320</v>
      </c>
      <c r="B112" s="24">
        <v>46080</v>
      </c>
      <c r="C112" s="23" t="str">
        <f t="shared" si="4"/>
        <v>Friday</v>
      </c>
      <c r="D112" s="17" t="s">
        <v>229</v>
      </c>
      <c r="E112" s="17" t="s">
        <v>339</v>
      </c>
      <c r="F112" s="17" t="s">
        <v>323</v>
      </c>
      <c r="G112" s="23" t="str">
        <f t="shared" si="5"/>
        <v>LATE</v>
      </c>
      <c r="H112" s="26">
        <f t="shared" si="6"/>
        <v>0.30555555555555552</v>
      </c>
      <c r="I112" s="23" t="str">
        <f t="shared" si="7"/>
        <v>NO OT</v>
      </c>
    </row>
    <row r="113" spans="1:9" x14ac:dyDescent="0.25">
      <c r="A113" s="23" t="s">
        <v>320</v>
      </c>
      <c r="B113" s="24">
        <v>46081</v>
      </c>
      <c r="C113" s="23" t="str">
        <f t="shared" si="4"/>
        <v>Saturday</v>
      </c>
      <c r="D113" s="17" t="s">
        <v>253</v>
      </c>
      <c r="E113" s="17" t="s">
        <v>340</v>
      </c>
      <c r="F113" s="17" t="s">
        <v>341</v>
      </c>
      <c r="G113" s="23" t="str">
        <f t="shared" si="5"/>
        <v>LATE</v>
      </c>
      <c r="H113" s="26">
        <f t="shared" si="6"/>
        <v>0.2951388888888889</v>
      </c>
      <c r="I113" s="23" t="str">
        <f t="shared" si="7"/>
        <v>NO OT</v>
      </c>
    </row>
    <row r="114" spans="1:9" x14ac:dyDescent="0.25">
      <c r="A114" s="23" t="s">
        <v>342</v>
      </c>
      <c r="B114" s="24">
        <v>46054</v>
      </c>
      <c r="C114" s="58" t="str">
        <f>TEXT(B114, "dddd")</f>
        <v>Sunday</v>
      </c>
      <c r="D114" s="59"/>
      <c r="E114" s="59"/>
      <c r="F114" s="59"/>
    </row>
    <row r="115" spans="1:9" x14ac:dyDescent="0.25">
      <c r="A115" s="23" t="s">
        <v>342</v>
      </c>
      <c r="B115" s="24">
        <v>46055</v>
      </c>
      <c r="C115" s="23" t="str">
        <f t="shared" si="4"/>
        <v>Monday</v>
      </c>
      <c r="D115" s="17" t="s">
        <v>216</v>
      </c>
      <c r="E115" s="17" t="s">
        <v>343</v>
      </c>
      <c r="F115" s="17" t="s">
        <v>344</v>
      </c>
      <c r="G115" s="23" t="str">
        <f t="shared" si="5"/>
        <v>LATE</v>
      </c>
      <c r="H115" s="26">
        <f t="shared" si="6"/>
        <v>0.11527777777777778</v>
      </c>
      <c r="I115" s="23" t="str">
        <f t="shared" si="7"/>
        <v>NO OT</v>
      </c>
    </row>
    <row r="116" spans="1:9" x14ac:dyDescent="0.25">
      <c r="A116" s="23" t="s">
        <v>342</v>
      </c>
      <c r="B116" s="24">
        <v>46056</v>
      </c>
      <c r="C116" s="23" t="str">
        <f t="shared" si="4"/>
        <v>Tuesday</v>
      </c>
      <c r="D116" s="17" t="s">
        <v>224</v>
      </c>
      <c r="E116" s="17" t="s">
        <v>312</v>
      </c>
      <c r="F116" s="17" t="s">
        <v>345</v>
      </c>
      <c r="G116" s="23" t="str">
        <f t="shared" si="5"/>
        <v>LATE</v>
      </c>
      <c r="H116" s="26">
        <f t="shared" si="6"/>
        <v>0.33888888888888885</v>
      </c>
      <c r="I116" s="23" t="str">
        <f t="shared" si="7"/>
        <v>NO OT</v>
      </c>
    </row>
    <row r="117" spans="1:9" x14ac:dyDescent="0.25">
      <c r="A117" s="23" t="s">
        <v>342</v>
      </c>
      <c r="B117" s="24">
        <v>46057</v>
      </c>
      <c r="C117" s="23" t="str">
        <f t="shared" si="4"/>
        <v>Wednesday</v>
      </c>
      <c r="D117" s="17" t="s">
        <v>216</v>
      </c>
      <c r="E117" s="17" t="s">
        <v>223</v>
      </c>
      <c r="F117" s="17" t="s">
        <v>327</v>
      </c>
      <c r="G117" s="23" t="str">
        <f t="shared" si="5"/>
        <v>LATE</v>
      </c>
      <c r="H117" s="26">
        <f t="shared" si="6"/>
        <v>0.32222222222222224</v>
      </c>
      <c r="I117" s="23" t="str">
        <f t="shared" si="7"/>
        <v>NO OT</v>
      </c>
    </row>
    <row r="118" spans="1:9" x14ac:dyDescent="0.25">
      <c r="A118" s="23" t="s">
        <v>342</v>
      </c>
      <c r="B118" s="24">
        <v>46058</v>
      </c>
      <c r="C118" s="23" t="str">
        <f t="shared" si="4"/>
        <v>Thursday</v>
      </c>
      <c r="D118" s="17" t="s">
        <v>229</v>
      </c>
      <c r="E118" s="17" t="s">
        <v>346</v>
      </c>
      <c r="F118" s="17" t="s">
        <v>347</v>
      </c>
      <c r="G118" s="23" t="str">
        <f t="shared" si="5"/>
        <v>LATE</v>
      </c>
      <c r="H118" s="26">
        <f t="shared" si="6"/>
        <v>0.32777777777777778</v>
      </c>
      <c r="I118" s="23" t="str">
        <f t="shared" si="7"/>
        <v>NO OT</v>
      </c>
    </row>
    <row r="119" spans="1:9" x14ac:dyDescent="0.25">
      <c r="A119" s="23" t="s">
        <v>342</v>
      </c>
      <c r="B119" s="24">
        <v>46059</v>
      </c>
      <c r="C119" s="23" t="str">
        <f t="shared" si="4"/>
        <v>Friday</v>
      </c>
      <c r="D119" s="17" t="s">
        <v>325</v>
      </c>
      <c r="E119" s="17" t="s">
        <v>296</v>
      </c>
      <c r="F119" s="17" t="s">
        <v>213</v>
      </c>
      <c r="G119" s="23" t="str">
        <f t="shared" si="5"/>
        <v>LATE</v>
      </c>
      <c r="H119" s="26">
        <f t="shared" si="6"/>
        <v>0.33124999999999999</v>
      </c>
      <c r="I119" s="23" t="str">
        <f t="shared" si="7"/>
        <v>NO OT</v>
      </c>
    </row>
    <row r="120" spans="1:9" x14ac:dyDescent="0.25">
      <c r="A120" s="23" t="s">
        <v>342</v>
      </c>
      <c r="B120" s="24">
        <v>46060</v>
      </c>
      <c r="C120" s="23" t="str">
        <f t="shared" si="4"/>
        <v>Saturday</v>
      </c>
      <c r="D120" s="17" t="s">
        <v>166</v>
      </c>
      <c r="E120" s="17" t="s">
        <v>311</v>
      </c>
      <c r="F120" s="17" t="s">
        <v>348</v>
      </c>
      <c r="G120" s="23" t="str">
        <f t="shared" si="5"/>
        <v>LATE</v>
      </c>
      <c r="H120" s="26">
        <f t="shared" si="6"/>
        <v>0.2305555555555556</v>
      </c>
      <c r="I120" s="23" t="str">
        <f t="shared" si="7"/>
        <v>NO OT</v>
      </c>
    </row>
    <row r="121" spans="1:9" x14ac:dyDescent="0.25">
      <c r="A121" s="23" t="s">
        <v>342</v>
      </c>
      <c r="B121" s="24">
        <v>46061</v>
      </c>
      <c r="C121" s="58" t="str">
        <f>TEXT(B121, "dddd")</f>
        <v>Sunday</v>
      </c>
      <c r="D121" s="59"/>
      <c r="E121" s="59"/>
      <c r="F121" s="59"/>
    </row>
    <row r="122" spans="1:9" x14ac:dyDescent="0.25">
      <c r="A122" s="23" t="s">
        <v>342</v>
      </c>
      <c r="B122" s="24">
        <v>46062</v>
      </c>
      <c r="C122" s="23" t="str">
        <f t="shared" si="4"/>
        <v>Monday</v>
      </c>
      <c r="D122" s="17" t="s">
        <v>206</v>
      </c>
      <c r="E122" s="17" t="s">
        <v>203</v>
      </c>
      <c r="F122" s="17" t="s">
        <v>210</v>
      </c>
      <c r="G122" s="23" t="str">
        <f t="shared" si="5"/>
        <v>OK</v>
      </c>
      <c r="H122" s="26">
        <f t="shared" si="6"/>
        <v>0.33263888888888887</v>
      </c>
      <c r="I122" s="23" t="str">
        <f t="shared" si="7"/>
        <v>NO OT</v>
      </c>
    </row>
    <row r="123" spans="1:9" x14ac:dyDescent="0.25">
      <c r="A123" s="23" t="s">
        <v>342</v>
      </c>
      <c r="B123" s="24">
        <v>46063</v>
      </c>
      <c r="C123" s="23" t="str">
        <f t="shared" si="4"/>
        <v>Tuesday</v>
      </c>
      <c r="D123" s="17" t="s">
        <v>222</v>
      </c>
      <c r="E123" s="17" t="s">
        <v>303</v>
      </c>
      <c r="F123" s="17" t="s">
        <v>306</v>
      </c>
      <c r="G123" s="23" t="str">
        <f t="shared" si="5"/>
        <v>OK</v>
      </c>
      <c r="H123" s="26">
        <f t="shared" si="6"/>
        <v>0.32500000000000001</v>
      </c>
      <c r="I123" s="23" t="str">
        <f t="shared" si="7"/>
        <v>NO OT</v>
      </c>
    </row>
    <row r="124" spans="1:9" x14ac:dyDescent="0.25">
      <c r="A124" s="23" t="s">
        <v>342</v>
      </c>
      <c r="B124" s="24">
        <v>46064</v>
      </c>
      <c r="C124" s="23" t="str">
        <f t="shared" si="4"/>
        <v>Wednesday</v>
      </c>
      <c r="D124" s="17" t="s">
        <v>222</v>
      </c>
      <c r="E124" s="17" t="s">
        <v>197</v>
      </c>
      <c r="F124" s="17" t="s">
        <v>347</v>
      </c>
      <c r="G124" s="23" t="str">
        <f t="shared" si="5"/>
        <v>OK</v>
      </c>
      <c r="H124" s="26">
        <f t="shared" si="6"/>
        <v>0.32777777777777778</v>
      </c>
      <c r="I124" s="23" t="str">
        <f t="shared" si="7"/>
        <v>NO OT</v>
      </c>
    </row>
    <row r="125" spans="1:9" x14ac:dyDescent="0.25">
      <c r="A125" s="23" t="s">
        <v>342</v>
      </c>
      <c r="B125" s="24">
        <v>46065</v>
      </c>
      <c r="C125" s="23" t="str">
        <f t="shared" si="4"/>
        <v>Thursday</v>
      </c>
      <c r="D125" s="17" t="s">
        <v>255</v>
      </c>
      <c r="E125" s="17" t="s">
        <v>349</v>
      </c>
      <c r="F125" s="17" t="s">
        <v>350</v>
      </c>
      <c r="G125" s="23" t="str">
        <f t="shared" si="5"/>
        <v>OK</v>
      </c>
      <c r="H125" s="26">
        <f t="shared" si="6"/>
        <v>0.33402777777777776</v>
      </c>
      <c r="I125" s="23" t="str">
        <f t="shared" si="7"/>
        <v>NO OT</v>
      </c>
    </row>
    <row r="126" spans="1:9" x14ac:dyDescent="0.25">
      <c r="A126" s="23" t="s">
        <v>342</v>
      </c>
      <c r="B126" s="24">
        <v>46066</v>
      </c>
      <c r="C126" s="23" t="str">
        <f t="shared" si="4"/>
        <v>Friday</v>
      </c>
      <c r="D126" s="17" t="s">
        <v>351</v>
      </c>
      <c r="E126" s="17" t="s">
        <v>349</v>
      </c>
      <c r="F126" s="17" t="s">
        <v>221</v>
      </c>
      <c r="G126" s="23" t="str">
        <f t="shared" si="5"/>
        <v>OK</v>
      </c>
      <c r="H126" s="26">
        <f t="shared" si="6"/>
        <v>0.33333333333333331</v>
      </c>
      <c r="I126" s="23" t="str">
        <f t="shared" si="7"/>
        <v>NO OT</v>
      </c>
    </row>
    <row r="127" spans="1:9" x14ac:dyDescent="0.25">
      <c r="A127" s="23" t="s">
        <v>342</v>
      </c>
      <c r="B127" s="24">
        <v>46067</v>
      </c>
      <c r="C127" s="23" t="str">
        <f t="shared" si="4"/>
        <v>Saturday</v>
      </c>
      <c r="D127" s="17" t="s">
        <v>206</v>
      </c>
      <c r="E127" s="17" t="s">
        <v>217</v>
      </c>
      <c r="F127" s="17" t="s">
        <v>307</v>
      </c>
      <c r="G127" s="23" t="str">
        <f t="shared" si="5"/>
        <v>OK</v>
      </c>
      <c r="H127" s="26">
        <f t="shared" si="6"/>
        <v>0.33055555555555555</v>
      </c>
      <c r="I127" s="23" t="str">
        <f t="shared" si="7"/>
        <v>NO OT</v>
      </c>
    </row>
    <row r="128" spans="1:9" x14ac:dyDescent="0.25">
      <c r="A128" s="23" t="s">
        <v>342</v>
      </c>
      <c r="B128" s="24">
        <v>46068</v>
      </c>
      <c r="C128" s="58" t="str">
        <f>TEXT(B128, "dddd")</f>
        <v>Sunday</v>
      </c>
      <c r="D128" s="59"/>
      <c r="E128" s="59"/>
      <c r="F128" s="59"/>
    </row>
    <row r="129" spans="1:9" x14ac:dyDescent="0.25">
      <c r="A129" s="23" t="s">
        <v>342</v>
      </c>
      <c r="B129" s="24">
        <v>46069</v>
      </c>
      <c r="C129" s="23" t="str">
        <f t="shared" si="4"/>
        <v>Monday</v>
      </c>
      <c r="D129" s="17" t="s">
        <v>100</v>
      </c>
      <c r="E129" s="17" t="s">
        <v>311</v>
      </c>
      <c r="F129" s="17" t="s">
        <v>352</v>
      </c>
      <c r="G129" s="23" t="str">
        <f t="shared" si="5"/>
        <v>LATE</v>
      </c>
      <c r="H129" s="26">
        <f t="shared" si="6"/>
        <v>0.31458333333333333</v>
      </c>
      <c r="I129" s="23" t="str">
        <f t="shared" si="7"/>
        <v>NO OT</v>
      </c>
    </row>
    <row r="130" spans="1:9" x14ac:dyDescent="0.25">
      <c r="A130" s="23" t="s">
        <v>342</v>
      </c>
      <c r="B130" s="24">
        <v>46070</v>
      </c>
      <c r="C130" s="23" t="str">
        <f t="shared" si="4"/>
        <v>Tuesday</v>
      </c>
      <c r="D130" s="17" t="s">
        <v>224</v>
      </c>
      <c r="E130" s="17" t="s">
        <v>353</v>
      </c>
      <c r="F130" s="17" t="s">
        <v>221</v>
      </c>
      <c r="G130" s="23" t="str">
        <f t="shared" si="5"/>
        <v>LATE</v>
      </c>
      <c r="H130" s="26">
        <f t="shared" si="6"/>
        <v>0.33333333333333331</v>
      </c>
      <c r="I130" s="23" t="str">
        <f t="shared" si="7"/>
        <v>NO OT</v>
      </c>
    </row>
    <row r="131" spans="1:9" x14ac:dyDescent="0.25">
      <c r="A131" s="23" t="s">
        <v>342</v>
      </c>
      <c r="B131" s="24">
        <v>46071</v>
      </c>
      <c r="C131" s="23" t="str">
        <f t="shared" ref="C131:C194" si="8">TEXT(B131, "dddd")</f>
        <v>Wednesday</v>
      </c>
      <c r="D131" s="17" t="s">
        <v>325</v>
      </c>
      <c r="E131" s="17" t="s">
        <v>354</v>
      </c>
      <c r="F131" s="17" t="s">
        <v>355</v>
      </c>
      <c r="G131" s="23" t="str">
        <f t="shared" ref="G131:G194" si="9">IF(C131="Sunday", "SUNDAY", IF(OR(D131=0, D131="", D131="0:0"), "ABSENT", IF(MOD(D131,1) &gt; TIME(9,45,0), "LATE", "OK")))</f>
        <v>LATE</v>
      </c>
      <c r="H131" s="26">
        <f t="shared" ref="H131:H194" si="10">IF(OR(D131=0, D131="", E131=0, E131=""), 0, (E131-D131)-TIME(1,0,0))</f>
        <v>0.3347222222222222</v>
      </c>
      <c r="I131" s="23" t="str">
        <f t="shared" ref="I131:I194" si="11">IF(VALUE(E131) &gt; TIME(19,0,0), TEXT(VALUE(E131) - TIME(19,0,0), "hh:mm"), "NO OT")</f>
        <v>NO OT</v>
      </c>
    </row>
    <row r="132" spans="1:9" x14ac:dyDescent="0.25">
      <c r="A132" s="23" t="s">
        <v>342</v>
      </c>
      <c r="B132" s="24">
        <v>46072</v>
      </c>
      <c r="C132" s="23" t="str">
        <f t="shared" si="8"/>
        <v>Thursday</v>
      </c>
      <c r="D132" s="17" t="s">
        <v>310</v>
      </c>
      <c r="E132" s="17" t="s">
        <v>356</v>
      </c>
      <c r="F132" s="17" t="s">
        <v>352</v>
      </c>
      <c r="G132" s="23" t="str">
        <f t="shared" si="9"/>
        <v>OK</v>
      </c>
      <c r="H132" s="26">
        <f t="shared" si="10"/>
        <v>0.31458333333333327</v>
      </c>
      <c r="I132" s="23" t="str">
        <f t="shared" si="11"/>
        <v>NO OT</v>
      </c>
    </row>
    <row r="133" spans="1:9" x14ac:dyDescent="0.25">
      <c r="A133" s="23" t="s">
        <v>342</v>
      </c>
      <c r="B133" s="24">
        <v>46073</v>
      </c>
      <c r="C133" s="23" t="str">
        <f t="shared" si="8"/>
        <v>Friday</v>
      </c>
      <c r="D133" s="17" t="s">
        <v>357</v>
      </c>
      <c r="E133" s="17" t="s">
        <v>259</v>
      </c>
      <c r="F133" s="17" t="s">
        <v>358</v>
      </c>
      <c r="G133" s="23" t="str">
        <f t="shared" si="9"/>
        <v>OK</v>
      </c>
      <c r="H133" s="26">
        <f t="shared" si="10"/>
        <v>0.33958333333333335</v>
      </c>
      <c r="I133" s="23" t="str">
        <f t="shared" si="11"/>
        <v>NO OT</v>
      </c>
    </row>
    <row r="134" spans="1:9" x14ac:dyDescent="0.25">
      <c r="A134" s="23" t="s">
        <v>342</v>
      </c>
      <c r="B134" s="24">
        <v>46074</v>
      </c>
      <c r="C134" s="23" t="str">
        <f t="shared" si="8"/>
        <v>Saturday</v>
      </c>
      <c r="D134" s="17" t="s">
        <v>199</v>
      </c>
      <c r="E134" s="17" t="s">
        <v>270</v>
      </c>
      <c r="F134" s="17" t="s">
        <v>331</v>
      </c>
      <c r="G134" s="23" t="str">
        <f t="shared" si="9"/>
        <v>LATE</v>
      </c>
      <c r="H134" s="26">
        <f t="shared" si="10"/>
        <v>0.31111111111111106</v>
      </c>
      <c r="I134" s="23" t="str">
        <f t="shared" si="11"/>
        <v>NO OT</v>
      </c>
    </row>
    <row r="135" spans="1:9" x14ac:dyDescent="0.25">
      <c r="A135" s="23" t="s">
        <v>342</v>
      </c>
      <c r="B135" s="24">
        <v>46075</v>
      </c>
      <c r="C135" s="58" t="str">
        <f>TEXT(B135, "dddd")</f>
        <v>Sunday</v>
      </c>
      <c r="D135" s="59"/>
      <c r="E135" s="59"/>
      <c r="F135" s="59"/>
    </row>
    <row r="136" spans="1:9" x14ac:dyDescent="0.25">
      <c r="A136" s="23" t="s">
        <v>342</v>
      </c>
      <c r="B136" s="24">
        <v>46076</v>
      </c>
      <c r="C136" s="23" t="str">
        <f t="shared" si="8"/>
        <v>Monday</v>
      </c>
      <c r="D136" s="17" t="s">
        <v>167</v>
      </c>
      <c r="E136" s="17" t="s">
        <v>251</v>
      </c>
      <c r="F136" s="17" t="s">
        <v>359</v>
      </c>
      <c r="G136" s="23" t="str">
        <f t="shared" si="9"/>
        <v>LATE</v>
      </c>
      <c r="H136" s="26">
        <f t="shared" si="10"/>
        <v>0.26527777777777778</v>
      </c>
      <c r="I136" s="23" t="str">
        <f t="shared" si="11"/>
        <v>NO OT</v>
      </c>
    </row>
    <row r="137" spans="1:9" x14ac:dyDescent="0.25">
      <c r="A137" s="23" t="s">
        <v>342</v>
      </c>
      <c r="B137" s="24">
        <v>46077</v>
      </c>
      <c r="C137" s="23" t="str">
        <f t="shared" si="8"/>
        <v>Tuesday</v>
      </c>
      <c r="D137" s="17" t="s">
        <v>360</v>
      </c>
      <c r="E137" s="17" t="s">
        <v>212</v>
      </c>
      <c r="F137" s="17" t="s">
        <v>221</v>
      </c>
      <c r="G137" s="23" t="str">
        <f t="shared" si="9"/>
        <v>OK</v>
      </c>
      <c r="H137" s="26">
        <f t="shared" si="10"/>
        <v>0.33333333333333337</v>
      </c>
      <c r="I137" s="23" t="str">
        <f t="shared" si="11"/>
        <v>NO OT</v>
      </c>
    </row>
    <row r="138" spans="1:9" x14ac:dyDescent="0.25">
      <c r="A138" s="23" t="s">
        <v>342</v>
      </c>
      <c r="B138" s="24">
        <v>46078</v>
      </c>
      <c r="C138" s="23" t="str">
        <f t="shared" si="8"/>
        <v>Wednesday</v>
      </c>
      <c r="D138" s="17" t="s">
        <v>12</v>
      </c>
      <c r="E138" s="17" t="s">
        <v>12</v>
      </c>
      <c r="F138" s="17" t="s">
        <v>12</v>
      </c>
      <c r="G138" s="23" t="str">
        <f t="shared" si="9"/>
        <v>ABSENT</v>
      </c>
      <c r="H138" s="26">
        <f t="shared" si="10"/>
        <v>-4.1666666666666664E-2</v>
      </c>
      <c r="I138" s="23" t="str">
        <f t="shared" si="11"/>
        <v>NO OT</v>
      </c>
    </row>
    <row r="139" spans="1:9" x14ac:dyDescent="0.25">
      <c r="A139" s="23" t="s">
        <v>342</v>
      </c>
      <c r="B139" s="24">
        <v>46079</v>
      </c>
      <c r="C139" s="23" t="str">
        <f t="shared" si="8"/>
        <v>Thursday</v>
      </c>
      <c r="D139" s="17" t="s">
        <v>240</v>
      </c>
      <c r="E139" s="17" t="s">
        <v>361</v>
      </c>
      <c r="F139" s="17" t="s">
        <v>362</v>
      </c>
      <c r="G139" s="23" t="str">
        <f t="shared" si="9"/>
        <v>OK</v>
      </c>
      <c r="H139" s="26">
        <f t="shared" si="10"/>
        <v>0.30833333333333329</v>
      </c>
      <c r="I139" s="23" t="str">
        <f t="shared" si="11"/>
        <v>NO OT</v>
      </c>
    </row>
    <row r="140" spans="1:9" x14ac:dyDescent="0.25">
      <c r="A140" s="23" t="s">
        <v>342</v>
      </c>
      <c r="B140" s="24">
        <v>46080</v>
      </c>
      <c r="C140" s="23" t="str">
        <f t="shared" si="8"/>
        <v>Friday</v>
      </c>
      <c r="D140" s="17" t="s">
        <v>255</v>
      </c>
      <c r="E140" s="17" t="s">
        <v>363</v>
      </c>
      <c r="F140" s="17" t="s">
        <v>352</v>
      </c>
      <c r="G140" s="23" t="str">
        <f t="shared" si="9"/>
        <v>OK</v>
      </c>
      <c r="H140" s="26">
        <f t="shared" si="10"/>
        <v>0.31458333333333327</v>
      </c>
      <c r="I140" s="23" t="str">
        <f t="shared" si="11"/>
        <v>NO OT</v>
      </c>
    </row>
    <row r="141" spans="1:9" x14ac:dyDescent="0.25">
      <c r="A141" s="23" t="s">
        <v>342</v>
      </c>
      <c r="B141" s="24">
        <v>46081</v>
      </c>
      <c r="C141" s="23" t="str">
        <f t="shared" si="8"/>
        <v>Saturday</v>
      </c>
      <c r="D141" s="17" t="s">
        <v>364</v>
      </c>
      <c r="E141" s="17" t="s">
        <v>363</v>
      </c>
      <c r="F141" s="17" t="s">
        <v>365</v>
      </c>
      <c r="G141" s="23" t="str">
        <f t="shared" si="9"/>
        <v>OK</v>
      </c>
      <c r="H141" s="26">
        <f t="shared" si="10"/>
        <v>0.33541666666666659</v>
      </c>
      <c r="I141" s="23" t="str">
        <f t="shared" si="11"/>
        <v>NO OT</v>
      </c>
    </row>
    <row r="142" spans="1:9" x14ac:dyDescent="0.25">
      <c r="A142" s="23" t="s">
        <v>366</v>
      </c>
      <c r="B142" s="24">
        <v>46054</v>
      </c>
      <c r="C142" s="58" t="str">
        <f>TEXT(B142, "dddd")</f>
        <v>Sunday</v>
      </c>
      <c r="D142" s="59"/>
      <c r="E142" s="59"/>
      <c r="F142" s="59"/>
    </row>
    <row r="143" spans="1:9" x14ac:dyDescent="0.25">
      <c r="A143" s="23" t="s">
        <v>366</v>
      </c>
      <c r="B143" s="24">
        <v>46055</v>
      </c>
      <c r="C143" s="23" t="str">
        <f t="shared" si="8"/>
        <v>Monday</v>
      </c>
      <c r="D143" s="17" t="s">
        <v>285</v>
      </c>
      <c r="E143" s="17" t="s">
        <v>223</v>
      </c>
      <c r="F143" s="17" t="s">
        <v>367</v>
      </c>
      <c r="G143" s="23" t="str">
        <f t="shared" si="9"/>
        <v>LATE</v>
      </c>
      <c r="H143" s="26">
        <f t="shared" si="10"/>
        <v>0.32569444444444445</v>
      </c>
      <c r="I143" s="23" t="str">
        <f t="shared" si="11"/>
        <v>NO OT</v>
      </c>
    </row>
    <row r="144" spans="1:9" x14ac:dyDescent="0.25">
      <c r="A144" s="23" t="s">
        <v>366</v>
      </c>
      <c r="B144" s="24">
        <v>46056</v>
      </c>
      <c r="C144" s="23" t="str">
        <f t="shared" si="8"/>
        <v>Tuesday</v>
      </c>
      <c r="D144" s="17" t="s">
        <v>330</v>
      </c>
      <c r="E144" s="17" t="s">
        <v>368</v>
      </c>
      <c r="F144" s="17" t="s">
        <v>347</v>
      </c>
      <c r="G144" s="23" t="str">
        <f t="shared" si="9"/>
        <v>LATE</v>
      </c>
      <c r="H144" s="26">
        <f t="shared" si="10"/>
        <v>0.32777777777777772</v>
      </c>
      <c r="I144" s="23" t="str">
        <f t="shared" si="11"/>
        <v>NO OT</v>
      </c>
    </row>
    <row r="145" spans="1:9" x14ac:dyDescent="0.25">
      <c r="A145" s="23" t="s">
        <v>366</v>
      </c>
      <c r="B145" s="24">
        <v>46057</v>
      </c>
      <c r="C145" s="23" t="str">
        <f t="shared" si="8"/>
        <v>Wednesday</v>
      </c>
      <c r="D145" s="17" t="s">
        <v>189</v>
      </c>
      <c r="E145" s="17" t="s">
        <v>254</v>
      </c>
      <c r="F145" s="17" t="s">
        <v>369</v>
      </c>
      <c r="G145" s="23" t="str">
        <f t="shared" si="9"/>
        <v>OK</v>
      </c>
      <c r="H145" s="26">
        <f t="shared" si="10"/>
        <v>0.33194444444444443</v>
      </c>
      <c r="I145" s="23" t="str">
        <f t="shared" si="11"/>
        <v>NO OT</v>
      </c>
    </row>
    <row r="146" spans="1:9" x14ac:dyDescent="0.25">
      <c r="A146" s="23" t="s">
        <v>366</v>
      </c>
      <c r="B146" s="24">
        <v>46058</v>
      </c>
      <c r="C146" s="23" t="str">
        <f t="shared" si="8"/>
        <v>Thursday</v>
      </c>
      <c r="D146" s="17" t="s">
        <v>101</v>
      </c>
      <c r="E146" s="17" t="s">
        <v>311</v>
      </c>
      <c r="F146" s="17" t="s">
        <v>275</v>
      </c>
      <c r="G146" s="23" t="str">
        <f t="shared" si="9"/>
        <v>LATE</v>
      </c>
      <c r="H146" s="26">
        <f t="shared" si="10"/>
        <v>0.30972222222222223</v>
      </c>
      <c r="I146" s="23" t="str">
        <f t="shared" si="11"/>
        <v>NO OT</v>
      </c>
    </row>
    <row r="147" spans="1:9" x14ac:dyDescent="0.25">
      <c r="A147" s="23" t="s">
        <v>366</v>
      </c>
      <c r="B147" s="24">
        <v>46059</v>
      </c>
      <c r="C147" s="23" t="str">
        <f t="shared" si="8"/>
        <v>Friday</v>
      </c>
      <c r="D147" s="17" t="s">
        <v>12</v>
      </c>
      <c r="E147" s="17" t="s">
        <v>12</v>
      </c>
      <c r="F147" s="17" t="s">
        <v>12</v>
      </c>
      <c r="G147" s="23" t="str">
        <f t="shared" si="9"/>
        <v>ABSENT</v>
      </c>
      <c r="H147" s="26">
        <f t="shared" si="10"/>
        <v>-4.1666666666666664E-2</v>
      </c>
      <c r="I147" s="23" t="str">
        <f t="shared" si="11"/>
        <v>NO OT</v>
      </c>
    </row>
    <row r="148" spans="1:9" x14ac:dyDescent="0.25">
      <c r="A148" s="23" t="s">
        <v>366</v>
      </c>
      <c r="B148" s="24">
        <v>46060</v>
      </c>
      <c r="C148" s="23" t="str">
        <f t="shared" si="8"/>
        <v>Saturday</v>
      </c>
      <c r="D148" s="17" t="s">
        <v>22</v>
      </c>
      <c r="E148" s="17" t="s">
        <v>212</v>
      </c>
      <c r="F148" s="17" t="s">
        <v>370</v>
      </c>
      <c r="G148" s="23" t="str">
        <f t="shared" si="9"/>
        <v>LATE</v>
      </c>
      <c r="H148" s="26">
        <f t="shared" si="10"/>
        <v>0.29444444444444445</v>
      </c>
      <c r="I148" s="23" t="str">
        <f t="shared" si="11"/>
        <v>NO OT</v>
      </c>
    </row>
    <row r="149" spans="1:9" x14ac:dyDescent="0.25">
      <c r="A149" s="23" t="s">
        <v>366</v>
      </c>
      <c r="B149" s="24">
        <v>46061</v>
      </c>
      <c r="C149" s="58" t="str">
        <f>TEXT(B149, "dddd")</f>
        <v>Sunday</v>
      </c>
      <c r="D149" s="59"/>
      <c r="E149" s="59"/>
      <c r="F149" s="59"/>
    </row>
    <row r="150" spans="1:9" x14ac:dyDescent="0.25">
      <c r="A150" s="23" t="s">
        <v>366</v>
      </c>
      <c r="B150" s="24">
        <v>46062</v>
      </c>
      <c r="C150" s="23" t="str">
        <f t="shared" si="8"/>
        <v>Monday</v>
      </c>
      <c r="D150" s="17" t="s">
        <v>371</v>
      </c>
      <c r="E150" s="17" t="s">
        <v>220</v>
      </c>
      <c r="F150" s="17" t="s">
        <v>252</v>
      </c>
      <c r="G150" s="23" t="str">
        <f t="shared" si="9"/>
        <v>OK</v>
      </c>
      <c r="H150" s="26">
        <f t="shared" si="10"/>
        <v>0.33680555555555558</v>
      </c>
      <c r="I150" s="23" t="str">
        <f t="shared" si="11"/>
        <v>NO OT</v>
      </c>
    </row>
    <row r="151" spans="1:9" x14ac:dyDescent="0.25">
      <c r="A151" s="23" t="s">
        <v>366</v>
      </c>
      <c r="B151" s="24">
        <v>46063</v>
      </c>
      <c r="C151" s="23" t="str">
        <f t="shared" si="8"/>
        <v>Tuesday</v>
      </c>
      <c r="D151" s="17" t="s">
        <v>255</v>
      </c>
      <c r="E151" s="17" t="s">
        <v>311</v>
      </c>
      <c r="F151" s="17" t="s">
        <v>372</v>
      </c>
      <c r="G151" s="23" t="str">
        <f t="shared" si="9"/>
        <v>OK</v>
      </c>
      <c r="H151" s="26">
        <f t="shared" si="10"/>
        <v>0.32708333333333334</v>
      </c>
      <c r="I151" s="23" t="str">
        <f t="shared" si="11"/>
        <v>NO OT</v>
      </c>
    </row>
    <row r="152" spans="1:9" x14ac:dyDescent="0.25">
      <c r="A152" s="23" t="s">
        <v>366</v>
      </c>
      <c r="B152" s="24">
        <v>46064</v>
      </c>
      <c r="C152" s="23" t="str">
        <f t="shared" si="8"/>
        <v>Wednesday</v>
      </c>
      <c r="D152" s="17" t="s">
        <v>285</v>
      </c>
      <c r="E152" s="17" t="s">
        <v>254</v>
      </c>
      <c r="F152" s="17" t="s">
        <v>373</v>
      </c>
      <c r="G152" s="23" t="str">
        <f t="shared" si="9"/>
        <v>LATE</v>
      </c>
      <c r="H152" s="26">
        <f t="shared" si="10"/>
        <v>0.3263888888888889</v>
      </c>
      <c r="I152" s="23" t="str">
        <f t="shared" si="11"/>
        <v>NO OT</v>
      </c>
    </row>
    <row r="153" spans="1:9" x14ac:dyDescent="0.25">
      <c r="A153" s="23" t="s">
        <v>366</v>
      </c>
      <c r="B153" s="24">
        <v>46065</v>
      </c>
      <c r="C153" s="23" t="str">
        <f t="shared" si="8"/>
        <v>Thursday</v>
      </c>
      <c r="D153" s="17" t="s">
        <v>322</v>
      </c>
      <c r="E153" s="17" t="s">
        <v>374</v>
      </c>
      <c r="F153" s="17" t="s">
        <v>345</v>
      </c>
      <c r="G153" s="23" t="str">
        <f t="shared" si="9"/>
        <v>LATE</v>
      </c>
      <c r="H153" s="26">
        <f t="shared" si="10"/>
        <v>0.33888888888888885</v>
      </c>
      <c r="I153" s="23" t="str">
        <f t="shared" si="11"/>
        <v>00:02</v>
      </c>
    </row>
    <row r="154" spans="1:9" x14ac:dyDescent="0.25">
      <c r="A154" s="23" t="s">
        <v>366</v>
      </c>
      <c r="B154" s="24">
        <v>46066</v>
      </c>
      <c r="C154" s="23" t="str">
        <f t="shared" si="8"/>
        <v>Friday</v>
      </c>
      <c r="D154" s="17" t="s">
        <v>224</v>
      </c>
      <c r="E154" s="17" t="s">
        <v>12</v>
      </c>
      <c r="F154" s="17" t="s">
        <v>188</v>
      </c>
      <c r="G154" s="23" t="str">
        <f t="shared" si="9"/>
        <v>LATE</v>
      </c>
      <c r="H154" s="26">
        <f t="shared" si="10"/>
        <v>-0.45</v>
      </c>
      <c r="I154" s="23" t="str">
        <f t="shared" si="11"/>
        <v>NO OT</v>
      </c>
    </row>
    <row r="155" spans="1:9" x14ac:dyDescent="0.25">
      <c r="A155" s="23" t="s">
        <v>366</v>
      </c>
      <c r="B155" s="24">
        <v>46067</v>
      </c>
      <c r="C155" s="23" t="str">
        <f t="shared" si="8"/>
        <v>Saturday</v>
      </c>
      <c r="D155" s="17" t="s">
        <v>168</v>
      </c>
      <c r="E155" s="17" t="s">
        <v>296</v>
      </c>
      <c r="F155" s="17" t="s">
        <v>327</v>
      </c>
      <c r="G155" s="23" t="str">
        <f t="shared" si="9"/>
        <v>LATE</v>
      </c>
      <c r="H155" s="26">
        <f t="shared" si="10"/>
        <v>0.32222222222222219</v>
      </c>
      <c r="I155" s="23" t="str">
        <f t="shared" si="11"/>
        <v>NO OT</v>
      </c>
    </row>
    <row r="156" spans="1:9" x14ac:dyDescent="0.25">
      <c r="A156" s="23" t="s">
        <v>366</v>
      </c>
      <c r="B156" s="24">
        <v>46068</v>
      </c>
      <c r="C156" s="58" t="str">
        <f>TEXT(B156, "dddd")</f>
        <v>Sunday</v>
      </c>
      <c r="D156" s="59"/>
      <c r="E156" s="59"/>
      <c r="F156" s="59"/>
    </row>
    <row r="157" spans="1:9" x14ac:dyDescent="0.25">
      <c r="A157" s="23" t="s">
        <v>366</v>
      </c>
      <c r="B157" s="24">
        <v>46069</v>
      </c>
      <c r="C157" s="23" t="str">
        <f t="shared" si="8"/>
        <v>Monday</v>
      </c>
      <c r="D157" s="17" t="s">
        <v>169</v>
      </c>
      <c r="E157" s="17" t="s">
        <v>223</v>
      </c>
      <c r="F157" s="17" t="s">
        <v>375</v>
      </c>
      <c r="G157" s="23" t="str">
        <f t="shared" si="9"/>
        <v>LATE</v>
      </c>
      <c r="H157" s="26">
        <f t="shared" si="10"/>
        <v>0.31319444444444444</v>
      </c>
      <c r="I157" s="23" t="str">
        <f t="shared" si="11"/>
        <v>NO OT</v>
      </c>
    </row>
    <row r="158" spans="1:9" x14ac:dyDescent="0.25">
      <c r="A158" s="23" t="s">
        <v>366</v>
      </c>
      <c r="B158" s="24">
        <v>46070</v>
      </c>
      <c r="C158" s="23" t="str">
        <f t="shared" si="8"/>
        <v>Tuesday</v>
      </c>
      <c r="D158" s="17" t="s">
        <v>137</v>
      </c>
      <c r="E158" s="17" t="s">
        <v>376</v>
      </c>
      <c r="F158" s="17" t="s">
        <v>362</v>
      </c>
      <c r="G158" s="23" t="str">
        <f t="shared" si="9"/>
        <v>LATE</v>
      </c>
      <c r="H158" s="26">
        <f t="shared" si="10"/>
        <v>0.30833333333333329</v>
      </c>
      <c r="I158" s="23" t="str">
        <f t="shared" si="11"/>
        <v>NO OT</v>
      </c>
    </row>
    <row r="159" spans="1:9" x14ac:dyDescent="0.25">
      <c r="A159" s="23" t="s">
        <v>366</v>
      </c>
      <c r="B159" s="24">
        <v>46071</v>
      </c>
      <c r="C159" s="23" t="str">
        <f t="shared" si="8"/>
        <v>Wednesday</v>
      </c>
      <c r="D159" s="17" t="s">
        <v>12</v>
      </c>
      <c r="E159" s="17" t="s">
        <v>12</v>
      </c>
      <c r="F159" s="17" t="s">
        <v>12</v>
      </c>
      <c r="G159" s="23" t="str">
        <f t="shared" si="9"/>
        <v>ABSENT</v>
      </c>
      <c r="H159" s="26">
        <f t="shared" si="10"/>
        <v>-4.1666666666666664E-2</v>
      </c>
      <c r="I159" s="23" t="str">
        <f t="shared" si="11"/>
        <v>NO OT</v>
      </c>
    </row>
    <row r="160" spans="1:9" x14ac:dyDescent="0.25">
      <c r="A160" s="23" t="s">
        <v>366</v>
      </c>
      <c r="B160" s="24">
        <v>46072</v>
      </c>
      <c r="C160" s="23" t="str">
        <f t="shared" si="8"/>
        <v>Thursday</v>
      </c>
      <c r="D160" s="17" t="s">
        <v>229</v>
      </c>
      <c r="E160" s="17" t="s">
        <v>377</v>
      </c>
      <c r="F160" s="17" t="s">
        <v>378</v>
      </c>
      <c r="G160" s="23" t="str">
        <f t="shared" si="9"/>
        <v>LATE</v>
      </c>
      <c r="H160" s="26">
        <f t="shared" si="10"/>
        <v>0.28333333333333338</v>
      </c>
      <c r="I160" s="23" t="str">
        <f t="shared" si="11"/>
        <v>NO OT</v>
      </c>
    </row>
    <row r="161" spans="1:9" x14ac:dyDescent="0.25">
      <c r="A161" s="23" t="s">
        <v>366</v>
      </c>
      <c r="B161" s="24">
        <v>46073</v>
      </c>
      <c r="C161" s="23" t="str">
        <f t="shared" si="8"/>
        <v>Friday</v>
      </c>
      <c r="D161" s="17" t="s">
        <v>12</v>
      </c>
      <c r="E161" s="17" t="s">
        <v>12</v>
      </c>
      <c r="F161" s="17" t="s">
        <v>12</v>
      </c>
      <c r="G161" s="23" t="str">
        <f t="shared" si="9"/>
        <v>ABSENT</v>
      </c>
      <c r="H161" s="26">
        <f t="shared" si="10"/>
        <v>-4.1666666666666664E-2</v>
      </c>
      <c r="I161" s="23" t="str">
        <f t="shared" si="11"/>
        <v>NO OT</v>
      </c>
    </row>
    <row r="162" spans="1:9" x14ac:dyDescent="0.25">
      <c r="A162" s="23" t="s">
        <v>366</v>
      </c>
      <c r="B162" s="24">
        <v>46074</v>
      </c>
      <c r="C162" s="23" t="str">
        <f t="shared" si="8"/>
        <v>Saturday</v>
      </c>
      <c r="D162" s="17" t="s">
        <v>224</v>
      </c>
      <c r="E162" s="17" t="s">
        <v>379</v>
      </c>
      <c r="F162" s="17" t="s">
        <v>380</v>
      </c>
      <c r="G162" s="23" t="str">
        <f t="shared" si="9"/>
        <v>LATE</v>
      </c>
      <c r="H162" s="26">
        <f t="shared" si="10"/>
        <v>0.28819444444444448</v>
      </c>
      <c r="I162" s="23" t="str">
        <f t="shared" si="11"/>
        <v>NO OT</v>
      </c>
    </row>
    <row r="163" spans="1:9" x14ac:dyDescent="0.25">
      <c r="A163" s="23" t="s">
        <v>366</v>
      </c>
      <c r="B163" s="24">
        <v>46075</v>
      </c>
      <c r="C163" s="58" t="str">
        <f>TEXT(B163, "dddd")</f>
        <v>Sunday</v>
      </c>
      <c r="D163" s="59"/>
      <c r="E163" s="59"/>
      <c r="F163" s="59"/>
    </row>
    <row r="164" spans="1:9" x14ac:dyDescent="0.25">
      <c r="A164" s="23" t="s">
        <v>366</v>
      </c>
      <c r="B164" s="24">
        <v>46076</v>
      </c>
      <c r="C164" s="23" t="str">
        <f t="shared" si="8"/>
        <v>Monday</v>
      </c>
      <c r="D164" s="17" t="s">
        <v>253</v>
      </c>
      <c r="E164" s="17" t="s">
        <v>381</v>
      </c>
      <c r="F164" s="17" t="s">
        <v>382</v>
      </c>
      <c r="G164" s="23" t="str">
        <f t="shared" si="9"/>
        <v>LATE</v>
      </c>
      <c r="H164" s="26">
        <f t="shared" si="10"/>
        <v>0.29375000000000001</v>
      </c>
      <c r="I164" s="23" t="str">
        <f t="shared" si="11"/>
        <v>NO OT</v>
      </c>
    </row>
    <row r="165" spans="1:9" x14ac:dyDescent="0.25">
      <c r="A165" s="23" t="s">
        <v>366</v>
      </c>
      <c r="B165" s="24">
        <v>46077</v>
      </c>
      <c r="C165" s="23" t="str">
        <f t="shared" si="8"/>
        <v>Tuesday</v>
      </c>
      <c r="D165" s="17" t="s">
        <v>199</v>
      </c>
      <c r="E165" s="17" t="s">
        <v>383</v>
      </c>
      <c r="F165" s="17" t="s">
        <v>384</v>
      </c>
      <c r="G165" s="23" t="str">
        <f t="shared" si="9"/>
        <v>LATE</v>
      </c>
      <c r="H165" s="26">
        <f t="shared" si="10"/>
        <v>0.22500000000000006</v>
      </c>
      <c r="I165" s="23" t="str">
        <f t="shared" si="11"/>
        <v>NO OT</v>
      </c>
    </row>
    <row r="166" spans="1:9" x14ac:dyDescent="0.25">
      <c r="A166" s="23" t="s">
        <v>366</v>
      </c>
      <c r="B166" s="24">
        <v>46078</v>
      </c>
      <c r="C166" s="23" t="str">
        <f t="shared" si="8"/>
        <v>Wednesday</v>
      </c>
      <c r="D166" s="17" t="s">
        <v>224</v>
      </c>
      <c r="E166" s="17" t="s">
        <v>245</v>
      </c>
      <c r="F166" s="17" t="s">
        <v>385</v>
      </c>
      <c r="G166" s="23" t="str">
        <f t="shared" si="9"/>
        <v>LATE</v>
      </c>
      <c r="H166" s="26">
        <f t="shared" si="10"/>
        <v>0.26944444444444443</v>
      </c>
      <c r="I166" s="23" t="str">
        <f t="shared" si="11"/>
        <v>NO OT</v>
      </c>
    </row>
    <row r="167" spans="1:9" x14ac:dyDescent="0.25">
      <c r="A167" s="23" t="s">
        <v>366</v>
      </c>
      <c r="B167" s="24">
        <v>46079</v>
      </c>
      <c r="C167" s="23" t="str">
        <f t="shared" si="8"/>
        <v>Thursday</v>
      </c>
      <c r="D167" s="17" t="s">
        <v>12</v>
      </c>
      <c r="E167" s="17" t="s">
        <v>12</v>
      </c>
      <c r="F167" s="17" t="s">
        <v>12</v>
      </c>
      <c r="G167" s="23" t="str">
        <f t="shared" si="9"/>
        <v>ABSENT</v>
      </c>
      <c r="H167" s="26">
        <f t="shared" si="10"/>
        <v>-4.1666666666666664E-2</v>
      </c>
      <c r="I167" s="23" t="str">
        <f t="shared" si="11"/>
        <v>NO OT</v>
      </c>
    </row>
    <row r="168" spans="1:9" x14ac:dyDescent="0.25">
      <c r="A168" s="23" t="s">
        <v>366</v>
      </c>
      <c r="B168" s="24">
        <v>46080</v>
      </c>
      <c r="C168" s="23" t="str">
        <f t="shared" si="8"/>
        <v>Friday</v>
      </c>
      <c r="D168" s="17" t="s">
        <v>302</v>
      </c>
      <c r="E168" s="17" t="s">
        <v>243</v>
      </c>
      <c r="F168" s="17" t="s">
        <v>386</v>
      </c>
      <c r="G168" s="23" t="str">
        <f t="shared" si="9"/>
        <v>OK</v>
      </c>
      <c r="H168" s="26">
        <f t="shared" si="10"/>
        <v>0.30624999999999997</v>
      </c>
      <c r="I168" s="23" t="str">
        <f t="shared" si="11"/>
        <v>NO OT</v>
      </c>
    </row>
    <row r="169" spans="1:9" x14ac:dyDescent="0.25">
      <c r="A169" s="23" t="s">
        <v>366</v>
      </c>
      <c r="B169" s="24">
        <v>46081</v>
      </c>
      <c r="C169" s="23" t="str">
        <f t="shared" si="8"/>
        <v>Saturday</v>
      </c>
      <c r="D169" s="17" t="s">
        <v>168</v>
      </c>
      <c r="E169" s="17" t="s">
        <v>387</v>
      </c>
      <c r="F169" s="17" t="s">
        <v>250</v>
      </c>
      <c r="G169" s="23" t="str">
        <f t="shared" si="9"/>
        <v>LATE</v>
      </c>
      <c r="H169" s="26">
        <f t="shared" si="10"/>
        <v>0.26874999999999993</v>
      </c>
      <c r="I169" s="23" t="str">
        <f t="shared" si="11"/>
        <v>NO OT</v>
      </c>
    </row>
    <row r="170" spans="1:9" x14ac:dyDescent="0.25">
      <c r="A170" s="23" t="s">
        <v>388</v>
      </c>
      <c r="B170" s="24">
        <v>46054</v>
      </c>
      <c r="C170" s="58" t="str">
        <f>TEXT(B170, "dddd")</f>
        <v>Sunday</v>
      </c>
      <c r="D170" s="59"/>
      <c r="E170" s="59"/>
      <c r="F170" s="59"/>
    </row>
    <row r="171" spans="1:9" x14ac:dyDescent="0.25">
      <c r="A171" s="23" t="s">
        <v>388</v>
      </c>
      <c r="B171" s="24">
        <v>46055</v>
      </c>
      <c r="C171" s="23" t="str">
        <f t="shared" si="8"/>
        <v>Monday</v>
      </c>
      <c r="D171" s="17" t="s">
        <v>124</v>
      </c>
      <c r="E171" s="17" t="s">
        <v>190</v>
      </c>
      <c r="F171" s="17" t="s">
        <v>231</v>
      </c>
      <c r="G171" s="23" t="str">
        <f t="shared" si="9"/>
        <v>LATE</v>
      </c>
      <c r="H171" s="26">
        <f t="shared" si="10"/>
        <v>0.27986111111111112</v>
      </c>
      <c r="I171" s="23" t="str">
        <f t="shared" si="11"/>
        <v>NO OT</v>
      </c>
    </row>
    <row r="172" spans="1:9" x14ac:dyDescent="0.25">
      <c r="A172" s="23" t="s">
        <v>388</v>
      </c>
      <c r="B172" s="24">
        <v>46056</v>
      </c>
      <c r="C172" s="23" t="str">
        <f t="shared" si="8"/>
        <v>Tuesday</v>
      </c>
      <c r="D172" s="17" t="s">
        <v>170</v>
      </c>
      <c r="E172" s="17" t="s">
        <v>220</v>
      </c>
      <c r="F172" s="17" t="s">
        <v>228</v>
      </c>
      <c r="G172" s="23" t="str">
        <f t="shared" si="9"/>
        <v>LATE</v>
      </c>
      <c r="H172" s="26">
        <f t="shared" si="10"/>
        <v>0.28402777777777777</v>
      </c>
      <c r="I172" s="23" t="str">
        <f t="shared" si="11"/>
        <v>NO OT</v>
      </c>
    </row>
    <row r="173" spans="1:9" x14ac:dyDescent="0.25">
      <c r="A173" s="23" t="s">
        <v>388</v>
      </c>
      <c r="B173" s="24">
        <v>46057</v>
      </c>
      <c r="C173" s="23" t="str">
        <f t="shared" si="8"/>
        <v>Wednesday</v>
      </c>
      <c r="D173" s="17" t="s">
        <v>121</v>
      </c>
      <c r="E173" s="17" t="s">
        <v>12</v>
      </c>
      <c r="F173" s="17" t="s">
        <v>188</v>
      </c>
      <c r="G173" s="23" t="str">
        <f t="shared" si="9"/>
        <v>LATE</v>
      </c>
      <c r="H173" s="26">
        <f t="shared" si="10"/>
        <v>-0.49305555555555558</v>
      </c>
      <c r="I173" s="23" t="str">
        <f t="shared" si="11"/>
        <v>NO OT</v>
      </c>
    </row>
    <row r="174" spans="1:9" x14ac:dyDescent="0.25">
      <c r="A174" s="23" t="s">
        <v>388</v>
      </c>
      <c r="B174" s="24">
        <v>46058</v>
      </c>
      <c r="C174" s="23" t="str">
        <f t="shared" si="8"/>
        <v>Thursday</v>
      </c>
      <c r="D174" s="17" t="s">
        <v>12</v>
      </c>
      <c r="E174" s="17" t="s">
        <v>12</v>
      </c>
      <c r="F174" s="17" t="s">
        <v>12</v>
      </c>
      <c r="G174" s="23" t="str">
        <f t="shared" si="9"/>
        <v>ABSENT</v>
      </c>
      <c r="H174" s="26">
        <f t="shared" si="10"/>
        <v>-4.1666666666666664E-2</v>
      </c>
      <c r="I174" s="23" t="str">
        <f t="shared" si="11"/>
        <v>NO OT</v>
      </c>
    </row>
    <row r="175" spans="1:9" x14ac:dyDescent="0.25">
      <c r="A175" s="23" t="s">
        <v>388</v>
      </c>
      <c r="B175" s="24">
        <v>46059</v>
      </c>
      <c r="C175" s="23" t="str">
        <f t="shared" si="8"/>
        <v>Friday</v>
      </c>
      <c r="D175" s="17" t="s">
        <v>389</v>
      </c>
      <c r="E175" s="17" t="s">
        <v>12</v>
      </c>
      <c r="F175" s="17" t="s">
        <v>188</v>
      </c>
      <c r="G175" s="23" t="str">
        <f t="shared" si="9"/>
        <v>LATE</v>
      </c>
      <c r="H175" s="26">
        <f t="shared" si="10"/>
        <v>-0.81874999999999998</v>
      </c>
      <c r="I175" s="23" t="str">
        <f t="shared" si="11"/>
        <v>NO OT</v>
      </c>
    </row>
    <row r="176" spans="1:9" x14ac:dyDescent="0.25">
      <c r="A176" s="23" t="s">
        <v>388</v>
      </c>
      <c r="B176" s="24">
        <v>46060</v>
      </c>
      <c r="C176" s="23" t="str">
        <f t="shared" si="8"/>
        <v>Saturday</v>
      </c>
      <c r="D176" s="17" t="s">
        <v>130</v>
      </c>
      <c r="E176" s="17" t="s">
        <v>217</v>
      </c>
      <c r="F176" s="17" t="s">
        <v>390</v>
      </c>
      <c r="G176" s="23" t="str">
        <f t="shared" si="9"/>
        <v>LATE</v>
      </c>
      <c r="H176" s="26">
        <f t="shared" si="10"/>
        <v>0.28541666666666665</v>
      </c>
      <c r="I176" s="23" t="str">
        <f t="shared" si="11"/>
        <v>NO OT</v>
      </c>
    </row>
    <row r="177" spans="1:9" x14ac:dyDescent="0.25">
      <c r="A177" s="23" t="s">
        <v>388</v>
      </c>
      <c r="B177" s="24">
        <v>46061</v>
      </c>
      <c r="C177" s="58" t="str">
        <f>TEXT(B177, "dddd")</f>
        <v>Sunday</v>
      </c>
      <c r="D177" s="59"/>
      <c r="E177" s="59"/>
      <c r="F177" s="59"/>
    </row>
    <row r="178" spans="1:9" x14ac:dyDescent="0.25">
      <c r="A178" s="23" t="s">
        <v>388</v>
      </c>
      <c r="B178" s="24">
        <v>46062</v>
      </c>
      <c r="C178" s="23" t="str">
        <f t="shared" si="8"/>
        <v>Monday</v>
      </c>
      <c r="D178" s="17" t="s">
        <v>171</v>
      </c>
      <c r="E178" s="17" t="s">
        <v>254</v>
      </c>
      <c r="F178" s="17" t="s">
        <v>391</v>
      </c>
      <c r="G178" s="23" t="str">
        <f t="shared" si="9"/>
        <v>LATE</v>
      </c>
      <c r="H178" s="26">
        <f t="shared" si="10"/>
        <v>0.28680555555555554</v>
      </c>
      <c r="I178" s="23" t="str">
        <f t="shared" si="11"/>
        <v>NO OT</v>
      </c>
    </row>
    <row r="179" spans="1:9" x14ac:dyDescent="0.25">
      <c r="A179" s="23" t="s">
        <v>388</v>
      </c>
      <c r="B179" s="24">
        <v>46063</v>
      </c>
      <c r="C179" s="23" t="str">
        <f t="shared" si="8"/>
        <v>Tuesday</v>
      </c>
      <c r="D179" s="17" t="s">
        <v>172</v>
      </c>
      <c r="E179" s="17" t="s">
        <v>223</v>
      </c>
      <c r="F179" s="17" t="s">
        <v>392</v>
      </c>
      <c r="G179" s="23" t="str">
        <f t="shared" si="9"/>
        <v>LATE</v>
      </c>
      <c r="H179" s="26">
        <f t="shared" si="10"/>
        <v>0.22708333333333339</v>
      </c>
      <c r="I179" s="23" t="str">
        <f t="shared" si="11"/>
        <v>NO OT</v>
      </c>
    </row>
    <row r="180" spans="1:9" x14ac:dyDescent="0.25">
      <c r="A180" s="23" t="s">
        <v>388</v>
      </c>
      <c r="B180" s="24">
        <v>46064</v>
      </c>
      <c r="C180" s="23" t="str">
        <f t="shared" si="8"/>
        <v>Wednesday</v>
      </c>
      <c r="D180" s="17" t="s">
        <v>173</v>
      </c>
      <c r="E180" s="17" t="s">
        <v>209</v>
      </c>
      <c r="F180" s="17" t="s">
        <v>385</v>
      </c>
      <c r="G180" s="23" t="str">
        <f t="shared" si="9"/>
        <v>LATE</v>
      </c>
      <c r="H180" s="26">
        <f t="shared" si="10"/>
        <v>0.26944444444444449</v>
      </c>
      <c r="I180" s="23" t="str">
        <f t="shared" si="11"/>
        <v>NO OT</v>
      </c>
    </row>
    <row r="181" spans="1:9" x14ac:dyDescent="0.25">
      <c r="A181" s="23" t="s">
        <v>388</v>
      </c>
      <c r="B181" s="24">
        <v>46065</v>
      </c>
      <c r="C181" s="23" t="str">
        <f t="shared" si="8"/>
        <v>Thursday</v>
      </c>
      <c r="D181" s="17" t="s">
        <v>158</v>
      </c>
      <c r="E181" s="17" t="s">
        <v>393</v>
      </c>
      <c r="F181" s="17" t="s">
        <v>375</v>
      </c>
      <c r="G181" s="23" t="str">
        <f t="shared" si="9"/>
        <v>LATE</v>
      </c>
      <c r="H181" s="26">
        <f t="shared" si="10"/>
        <v>0.31319444444444444</v>
      </c>
      <c r="I181" s="23" t="str">
        <f t="shared" si="11"/>
        <v>00:30</v>
      </c>
    </row>
    <row r="182" spans="1:9" x14ac:dyDescent="0.25">
      <c r="A182" s="23" t="s">
        <v>388</v>
      </c>
      <c r="B182" s="24">
        <v>46066</v>
      </c>
      <c r="C182" s="23" t="str">
        <f t="shared" si="8"/>
        <v>Friday</v>
      </c>
      <c r="D182" s="17" t="s">
        <v>128</v>
      </c>
      <c r="E182" s="17" t="s">
        <v>333</v>
      </c>
      <c r="F182" s="17" t="s">
        <v>394</v>
      </c>
      <c r="G182" s="23" t="str">
        <f t="shared" si="9"/>
        <v>LATE</v>
      </c>
      <c r="H182" s="26">
        <f t="shared" si="10"/>
        <v>0.27638888888888891</v>
      </c>
      <c r="I182" s="23" t="str">
        <f t="shared" si="11"/>
        <v>NO OT</v>
      </c>
    </row>
    <row r="183" spans="1:9" x14ac:dyDescent="0.25">
      <c r="A183" s="23" t="s">
        <v>388</v>
      </c>
      <c r="B183" s="24">
        <v>46067</v>
      </c>
      <c r="C183" s="23" t="str">
        <f t="shared" si="8"/>
        <v>Saturday</v>
      </c>
      <c r="D183" s="17" t="s">
        <v>12</v>
      </c>
      <c r="E183" s="17" t="s">
        <v>12</v>
      </c>
      <c r="F183" s="17" t="s">
        <v>12</v>
      </c>
      <c r="G183" s="23" t="str">
        <f t="shared" si="9"/>
        <v>ABSENT</v>
      </c>
      <c r="H183" s="26">
        <f t="shared" si="10"/>
        <v>-4.1666666666666664E-2</v>
      </c>
      <c r="I183" s="23" t="str">
        <f t="shared" si="11"/>
        <v>NO OT</v>
      </c>
    </row>
    <row r="184" spans="1:9" x14ac:dyDescent="0.25">
      <c r="A184" s="23" t="s">
        <v>388</v>
      </c>
      <c r="B184" s="24">
        <v>46068</v>
      </c>
      <c r="C184" s="58" t="str">
        <f>TEXT(B184, "dddd")</f>
        <v>Sunday</v>
      </c>
      <c r="D184" s="59"/>
      <c r="E184" s="59"/>
      <c r="F184" s="59"/>
    </row>
    <row r="185" spans="1:9" x14ac:dyDescent="0.25">
      <c r="A185" s="23" t="s">
        <v>388</v>
      </c>
      <c r="B185" s="24">
        <v>46069</v>
      </c>
      <c r="C185" s="23" t="str">
        <f t="shared" si="8"/>
        <v>Monday</v>
      </c>
      <c r="D185" s="17" t="s">
        <v>127</v>
      </c>
      <c r="E185" s="17" t="s">
        <v>190</v>
      </c>
      <c r="F185" s="17" t="s">
        <v>233</v>
      </c>
      <c r="G185" s="23" t="str">
        <f t="shared" si="9"/>
        <v>LATE</v>
      </c>
      <c r="H185" s="26">
        <f t="shared" si="10"/>
        <v>0.28750000000000003</v>
      </c>
      <c r="I185" s="23" t="str">
        <f t="shared" si="11"/>
        <v>NO OT</v>
      </c>
    </row>
    <row r="186" spans="1:9" x14ac:dyDescent="0.25">
      <c r="A186" s="23" t="s">
        <v>388</v>
      </c>
      <c r="B186" s="24">
        <v>46070</v>
      </c>
      <c r="C186" s="23" t="str">
        <f t="shared" si="8"/>
        <v>Tuesday</v>
      </c>
      <c r="D186" s="17" t="s">
        <v>174</v>
      </c>
      <c r="E186" s="17" t="s">
        <v>346</v>
      </c>
      <c r="F186" s="17" t="s">
        <v>395</v>
      </c>
      <c r="G186" s="23" t="str">
        <f t="shared" si="9"/>
        <v>LATE</v>
      </c>
      <c r="H186" s="26">
        <f t="shared" si="10"/>
        <v>0.28125</v>
      </c>
      <c r="I186" s="23" t="str">
        <f t="shared" si="11"/>
        <v>NO OT</v>
      </c>
    </row>
    <row r="187" spans="1:9" x14ac:dyDescent="0.25">
      <c r="A187" s="23" t="s">
        <v>388</v>
      </c>
      <c r="B187" s="24">
        <v>46071</v>
      </c>
      <c r="C187" s="23" t="str">
        <f t="shared" si="8"/>
        <v>Wednesday</v>
      </c>
      <c r="D187" s="17" t="s">
        <v>396</v>
      </c>
      <c r="E187" s="17" t="s">
        <v>397</v>
      </c>
      <c r="F187" s="17" t="s">
        <v>398</v>
      </c>
      <c r="G187" s="23" t="str">
        <f t="shared" si="9"/>
        <v>LATE</v>
      </c>
      <c r="H187" s="26">
        <f t="shared" si="10"/>
        <v>0.15069444444444444</v>
      </c>
      <c r="I187" s="23" t="str">
        <f t="shared" si="11"/>
        <v>NO OT</v>
      </c>
    </row>
    <row r="188" spans="1:9" x14ac:dyDescent="0.25">
      <c r="A188" s="23" t="s">
        <v>388</v>
      </c>
      <c r="B188" s="24">
        <v>46072</v>
      </c>
      <c r="C188" s="23" t="str">
        <f t="shared" si="8"/>
        <v>Thursday</v>
      </c>
      <c r="D188" s="17" t="s">
        <v>175</v>
      </c>
      <c r="E188" s="17" t="s">
        <v>339</v>
      </c>
      <c r="F188" s="17" t="s">
        <v>399</v>
      </c>
      <c r="G188" s="23" t="str">
        <f t="shared" si="9"/>
        <v>LATE</v>
      </c>
      <c r="H188" s="26">
        <f t="shared" si="10"/>
        <v>0.25069444444444439</v>
      </c>
      <c r="I188" s="23" t="str">
        <f t="shared" si="11"/>
        <v>NO OT</v>
      </c>
    </row>
    <row r="189" spans="1:9" x14ac:dyDescent="0.25">
      <c r="A189" s="23" t="s">
        <v>388</v>
      </c>
      <c r="B189" s="24">
        <v>46073</v>
      </c>
      <c r="C189" s="23" t="str">
        <f t="shared" si="8"/>
        <v>Friday</v>
      </c>
      <c r="D189" s="17" t="s">
        <v>176</v>
      </c>
      <c r="E189" s="17" t="s">
        <v>12</v>
      </c>
      <c r="F189" s="17" t="s">
        <v>188</v>
      </c>
      <c r="G189" s="23" t="str">
        <f t="shared" si="9"/>
        <v>LATE</v>
      </c>
      <c r="H189" s="26">
        <f t="shared" si="10"/>
        <v>-0.50486111111111109</v>
      </c>
      <c r="I189" s="23" t="str">
        <f t="shared" si="11"/>
        <v>NO OT</v>
      </c>
    </row>
    <row r="190" spans="1:9" x14ac:dyDescent="0.25">
      <c r="A190" s="23" t="s">
        <v>388</v>
      </c>
      <c r="B190" s="24">
        <v>46074</v>
      </c>
      <c r="C190" s="23" t="str">
        <f t="shared" si="8"/>
        <v>Saturday</v>
      </c>
      <c r="D190" s="17" t="s">
        <v>128</v>
      </c>
      <c r="E190" s="17" t="s">
        <v>270</v>
      </c>
      <c r="F190" s="17" t="s">
        <v>400</v>
      </c>
      <c r="G190" s="23" t="str">
        <f t="shared" si="9"/>
        <v>LATE</v>
      </c>
      <c r="H190" s="26">
        <f t="shared" si="10"/>
        <v>0.26736111111111105</v>
      </c>
      <c r="I190" s="23" t="str">
        <f t="shared" si="11"/>
        <v>NO OT</v>
      </c>
    </row>
    <row r="191" spans="1:9" x14ac:dyDescent="0.25">
      <c r="A191" s="23" t="s">
        <v>388</v>
      </c>
      <c r="B191" s="24">
        <v>46075</v>
      </c>
      <c r="C191" s="58" t="str">
        <f>TEXT(B191, "dddd")</f>
        <v>Sunday</v>
      </c>
      <c r="D191" s="59"/>
      <c r="E191" s="59"/>
      <c r="F191" s="59"/>
    </row>
    <row r="192" spans="1:9" x14ac:dyDescent="0.25">
      <c r="A192" s="23" t="s">
        <v>388</v>
      </c>
      <c r="B192" s="24">
        <v>46076</v>
      </c>
      <c r="C192" s="23" t="str">
        <f t="shared" si="8"/>
        <v>Monday</v>
      </c>
      <c r="D192" s="17" t="s">
        <v>12</v>
      </c>
      <c r="E192" s="17" t="s">
        <v>12</v>
      </c>
      <c r="F192" s="17" t="s">
        <v>12</v>
      </c>
      <c r="G192" s="23" t="str">
        <f t="shared" si="9"/>
        <v>ABSENT</v>
      </c>
      <c r="H192" s="26">
        <f t="shared" si="10"/>
        <v>-4.1666666666666664E-2</v>
      </c>
      <c r="I192" s="23" t="str">
        <f t="shared" si="11"/>
        <v>NO OT</v>
      </c>
    </row>
    <row r="193" spans="1:9" x14ac:dyDescent="0.25">
      <c r="A193" s="23" t="s">
        <v>388</v>
      </c>
      <c r="B193" s="24">
        <v>46077</v>
      </c>
      <c r="C193" s="23" t="str">
        <f t="shared" si="8"/>
        <v>Tuesday</v>
      </c>
      <c r="D193" s="17" t="s">
        <v>177</v>
      </c>
      <c r="E193" s="17" t="s">
        <v>12</v>
      </c>
      <c r="F193" s="17" t="s">
        <v>188</v>
      </c>
      <c r="G193" s="23" t="str">
        <f t="shared" si="9"/>
        <v>LATE</v>
      </c>
      <c r="H193" s="26">
        <f t="shared" si="10"/>
        <v>-0.48958333333333337</v>
      </c>
      <c r="I193" s="23" t="str">
        <f t="shared" si="11"/>
        <v>NO OT</v>
      </c>
    </row>
    <row r="194" spans="1:9" x14ac:dyDescent="0.25">
      <c r="A194" s="23" t="s">
        <v>388</v>
      </c>
      <c r="B194" s="24">
        <v>46078</v>
      </c>
      <c r="C194" s="23" t="str">
        <f t="shared" si="8"/>
        <v>Wednesday</v>
      </c>
      <c r="D194" s="17" t="s">
        <v>178</v>
      </c>
      <c r="E194" s="17" t="s">
        <v>317</v>
      </c>
      <c r="F194" s="17" t="s">
        <v>401</v>
      </c>
      <c r="G194" s="23" t="str">
        <f t="shared" si="9"/>
        <v>LATE</v>
      </c>
      <c r="H194" s="26">
        <f t="shared" si="10"/>
        <v>0.25624999999999998</v>
      </c>
      <c r="I194" s="23" t="str">
        <f t="shared" si="11"/>
        <v>NO OT</v>
      </c>
    </row>
    <row r="195" spans="1:9" x14ac:dyDescent="0.25">
      <c r="A195" s="23" t="s">
        <v>388</v>
      </c>
      <c r="B195" s="24">
        <v>46079</v>
      </c>
      <c r="C195" s="23" t="str">
        <f t="shared" ref="C195:C258" si="12">TEXT(B195, "dddd")</f>
        <v>Thursday</v>
      </c>
      <c r="D195" s="17" t="s">
        <v>12</v>
      </c>
      <c r="E195" s="17" t="s">
        <v>12</v>
      </c>
      <c r="F195" s="17" t="s">
        <v>12</v>
      </c>
      <c r="G195" s="23" t="str">
        <f t="shared" ref="G195:G258" si="13">IF(C195="Sunday", "SUNDAY", IF(OR(D195=0, D195="", D195="0:0"), "ABSENT", IF(MOD(D195,1) &gt; TIME(9,45,0), "LATE", "OK")))</f>
        <v>ABSENT</v>
      </c>
      <c r="H195" s="26">
        <f t="shared" ref="H195:H258" si="14">IF(OR(D195=0, D195="", E195=0, E195=""), 0, (E195-D195)-TIME(1,0,0))</f>
        <v>-4.1666666666666664E-2</v>
      </c>
      <c r="I195" s="23" t="str">
        <f t="shared" ref="I195:I258" si="15">IF(VALUE(E195) &gt; TIME(19,0,0), TEXT(VALUE(E195) - TIME(19,0,0), "hh:mm"), "NO OT")</f>
        <v>NO OT</v>
      </c>
    </row>
    <row r="196" spans="1:9" x14ac:dyDescent="0.25">
      <c r="A196" s="23" t="s">
        <v>388</v>
      </c>
      <c r="B196" s="24">
        <v>46080</v>
      </c>
      <c r="C196" s="23" t="str">
        <f t="shared" si="12"/>
        <v>Friday</v>
      </c>
      <c r="D196" s="17" t="s">
        <v>135</v>
      </c>
      <c r="E196" s="17" t="s">
        <v>270</v>
      </c>
      <c r="F196" s="17" t="s">
        <v>378</v>
      </c>
      <c r="G196" s="23" t="str">
        <f t="shared" si="13"/>
        <v>LATE</v>
      </c>
      <c r="H196" s="26">
        <f t="shared" si="14"/>
        <v>0.28333333333333327</v>
      </c>
      <c r="I196" s="23" t="str">
        <f t="shared" si="15"/>
        <v>NO OT</v>
      </c>
    </row>
    <row r="197" spans="1:9" x14ac:dyDescent="0.25">
      <c r="A197" s="23" t="s">
        <v>388</v>
      </c>
      <c r="B197" s="24">
        <v>46081</v>
      </c>
      <c r="C197" s="23" t="str">
        <f t="shared" si="12"/>
        <v>Saturday</v>
      </c>
      <c r="D197" s="17" t="s">
        <v>179</v>
      </c>
      <c r="E197" s="17" t="s">
        <v>12</v>
      </c>
      <c r="F197" s="17" t="s">
        <v>188</v>
      </c>
      <c r="G197" s="23" t="str">
        <f t="shared" si="13"/>
        <v>LATE</v>
      </c>
      <c r="H197" s="26">
        <f t="shared" si="14"/>
        <v>-0.47916666666666669</v>
      </c>
      <c r="I197" s="23" t="str">
        <f t="shared" si="15"/>
        <v>NO OT</v>
      </c>
    </row>
    <row r="198" spans="1:9" x14ac:dyDescent="0.25">
      <c r="A198" s="23" t="s">
        <v>402</v>
      </c>
      <c r="B198" s="24">
        <v>46054</v>
      </c>
      <c r="C198" s="58" t="str">
        <f>TEXT(B198, "dddd")</f>
        <v>Sunday</v>
      </c>
      <c r="D198" s="59"/>
      <c r="E198" s="59"/>
      <c r="F198" s="59"/>
    </row>
    <row r="199" spans="1:9" x14ac:dyDescent="0.25">
      <c r="A199" s="23" t="s">
        <v>402</v>
      </c>
      <c r="B199" s="24">
        <v>46055</v>
      </c>
      <c r="C199" s="23" t="str">
        <f t="shared" si="12"/>
        <v>Monday</v>
      </c>
      <c r="D199" s="17" t="s">
        <v>12</v>
      </c>
      <c r="E199" s="17" t="s">
        <v>12</v>
      </c>
      <c r="F199" s="17" t="s">
        <v>12</v>
      </c>
      <c r="G199" s="23" t="str">
        <f t="shared" si="13"/>
        <v>ABSENT</v>
      </c>
      <c r="H199" s="26">
        <f t="shared" si="14"/>
        <v>-4.1666666666666664E-2</v>
      </c>
      <c r="I199" s="23" t="str">
        <f t="shared" si="15"/>
        <v>NO OT</v>
      </c>
    </row>
    <row r="200" spans="1:9" x14ac:dyDescent="0.25">
      <c r="A200" s="23" t="s">
        <v>402</v>
      </c>
      <c r="B200" s="24">
        <v>46056</v>
      </c>
      <c r="C200" s="23" t="str">
        <f t="shared" si="12"/>
        <v>Tuesday</v>
      </c>
      <c r="D200" s="17" t="s">
        <v>403</v>
      </c>
      <c r="E200" s="17" t="s">
        <v>193</v>
      </c>
      <c r="F200" s="17" t="s">
        <v>404</v>
      </c>
      <c r="G200" s="23" t="str">
        <f t="shared" si="13"/>
        <v>OK</v>
      </c>
      <c r="H200" s="26">
        <f t="shared" si="14"/>
        <v>0.35069444444444442</v>
      </c>
      <c r="I200" s="23" t="str">
        <f t="shared" si="15"/>
        <v>NO OT</v>
      </c>
    </row>
    <row r="201" spans="1:9" x14ac:dyDescent="0.25">
      <c r="A201" s="23" t="s">
        <v>402</v>
      </c>
      <c r="B201" s="24">
        <v>46057</v>
      </c>
      <c r="C201" s="23" t="str">
        <f t="shared" si="12"/>
        <v>Wednesday</v>
      </c>
      <c r="D201" s="17" t="s">
        <v>405</v>
      </c>
      <c r="E201" s="17" t="s">
        <v>292</v>
      </c>
      <c r="F201" s="17" t="s">
        <v>301</v>
      </c>
      <c r="G201" s="23" t="str">
        <f t="shared" si="13"/>
        <v>OK</v>
      </c>
      <c r="H201" s="26">
        <f t="shared" si="14"/>
        <v>0.34305555555555556</v>
      </c>
      <c r="I201" s="23" t="str">
        <f t="shared" si="15"/>
        <v>NO OT</v>
      </c>
    </row>
    <row r="202" spans="1:9" x14ac:dyDescent="0.25">
      <c r="A202" s="23" t="s">
        <v>402</v>
      </c>
      <c r="B202" s="24">
        <v>46058</v>
      </c>
      <c r="C202" s="23" t="str">
        <f t="shared" si="12"/>
        <v>Thursday</v>
      </c>
      <c r="D202" s="17" t="s">
        <v>405</v>
      </c>
      <c r="E202" s="17" t="s">
        <v>197</v>
      </c>
      <c r="F202" s="17" t="s">
        <v>314</v>
      </c>
      <c r="G202" s="23" t="str">
        <f t="shared" si="13"/>
        <v>OK</v>
      </c>
      <c r="H202" s="26">
        <f t="shared" si="14"/>
        <v>0.34444444444444444</v>
      </c>
      <c r="I202" s="23" t="str">
        <f t="shared" si="15"/>
        <v>NO OT</v>
      </c>
    </row>
    <row r="203" spans="1:9" x14ac:dyDescent="0.25">
      <c r="A203" s="23" t="s">
        <v>402</v>
      </c>
      <c r="B203" s="24">
        <v>46059</v>
      </c>
      <c r="C203" s="23" t="str">
        <f t="shared" si="12"/>
        <v>Friday</v>
      </c>
      <c r="D203" s="17" t="s">
        <v>100</v>
      </c>
      <c r="E203" s="17" t="s">
        <v>406</v>
      </c>
      <c r="F203" s="17" t="s">
        <v>407</v>
      </c>
      <c r="G203" s="23" t="str">
        <f t="shared" si="13"/>
        <v>LATE</v>
      </c>
      <c r="H203" s="26">
        <f t="shared" si="14"/>
        <v>0.36180555555555549</v>
      </c>
      <c r="I203" s="23" t="str">
        <f t="shared" si="15"/>
        <v>00:42</v>
      </c>
    </row>
    <row r="204" spans="1:9" x14ac:dyDescent="0.25">
      <c r="A204" s="23" t="s">
        <v>402</v>
      </c>
      <c r="B204" s="24">
        <v>46060</v>
      </c>
      <c r="C204" s="23" t="str">
        <f t="shared" si="12"/>
        <v>Saturday</v>
      </c>
      <c r="D204" s="17" t="s">
        <v>180</v>
      </c>
      <c r="E204" s="17" t="s">
        <v>203</v>
      </c>
      <c r="F204" s="17" t="s">
        <v>408</v>
      </c>
      <c r="G204" s="23" t="str">
        <f t="shared" si="13"/>
        <v>LATE</v>
      </c>
      <c r="H204" s="26">
        <f t="shared" si="14"/>
        <v>0.29652777777777778</v>
      </c>
      <c r="I204" s="23" t="str">
        <f t="shared" si="15"/>
        <v>NO OT</v>
      </c>
    </row>
    <row r="205" spans="1:9" x14ac:dyDescent="0.25">
      <c r="A205" s="23" t="s">
        <v>402</v>
      </c>
      <c r="B205" s="24">
        <v>46061</v>
      </c>
      <c r="C205" s="58" t="str">
        <f>TEXT(B205, "dddd")</f>
        <v>Sunday</v>
      </c>
      <c r="D205" s="59"/>
      <c r="E205" s="59"/>
      <c r="F205" s="59"/>
    </row>
    <row r="206" spans="1:9" x14ac:dyDescent="0.25">
      <c r="A206" s="23" t="s">
        <v>402</v>
      </c>
      <c r="B206" s="24">
        <v>46062</v>
      </c>
      <c r="C206" s="23" t="str">
        <f t="shared" si="12"/>
        <v>Monday</v>
      </c>
      <c r="D206" s="17" t="s">
        <v>409</v>
      </c>
      <c r="E206" s="17" t="s">
        <v>259</v>
      </c>
      <c r="F206" s="17" t="s">
        <v>410</v>
      </c>
      <c r="G206" s="23" t="str">
        <f t="shared" si="13"/>
        <v>OK</v>
      </c>
      <c r="H206" s="26">
        <f t="shared" si="14"/>
        <v>0.35000000000000003</v>
      </c>
      <c r="I206" s="23" t="str">
        <f t="shared" si="15"/>
        <v>NO OT</v>
      </c>
    </row>
    <row r="207" spans="1:9" x14ac:dyDescent="0.25">
      <c r="A207" s="23" t="s">
        <v>402</v>
      </c>
      <c r="B207" s="24">
        <v>46063</v>
      </c>
      <c r="C207" s="23" t="str">
        <f t="shared" si="12"/>
        <v>Tuesday</v>
      </c>
      <c r="D207" s="17" t="s">
        <v>411</v>
      </c>
      <c r="E207" s="17" t="s">
        <v>267</v>
      </c>
      <c r="F207" s="17" t="s">
        <v>263</v>
      </c>
      <c r="G207" s="23" t="str">
        <f t="shared" si="13"/>
        <v>OK</v>
      </c>
      <c r="H207" s="26">
        <f t="shared" si="14"/>
        <v>0.34652777777777782</v>
      </c>
      <c r="I207" s="23" t="str">
        <f t="shared" si="15"/>
        <v>NO OT</v>
      </c>
    </row>
    <row r="208" spans="1:9" x14ac:dyDescent="0.25">
      <c r="A208" s="23" t="s">
        <v>402</v>
      </c>
      <c r="B208" s="24">
        <v>46064</v>
      </c>
      <c r="C208" s="23" t="str">
        <f t="shared" si="12"/>
        <v>Wednesday</v>
      </c>
      <c r="D208" s="17" t="s">
        <v>412</v>
      </c>
      <c r="E208" s="17" t="s">
        <v>413</v>
      </c>
      <c r="F208" s="17" t="s">
        <v>414</v>
      </c>
      <c r="G208" s="23" t="str">
        <f t="shared" si="13"/>
        <v>OK</v>
      </c>
      <c r="H208" s="26">
        <f t="shared" si="14"/>
        <v>0.26666666666666666</v>
      </c>
      <c r="I208" s="23" t="str">
        <f t="shared" si="15"/>
        <v>NO OT</v>
      </c>
    </row>
    <row r="209" spans="1:9" x14ac:dyDescent="0.25">
      <c r="A209" s="23" t="s">
        <v>402</v>
      </c>
      <c r="B209" s="24">
        <v>46065</v>
      </c>
      <c r="C209" s="23" t="str">
        <f t="shared" si="12"/>
        <v>Thursday</v>
      </c>
      <c r="D209" s="17" t="s">
        <v>415</v>
      </c>
      <c r="E209" s="17" t="s">
        <v>212</v>
      </c>
      <c r="F209" s="17" t="s">
        <v>355</v>
      </c>
      <c r="G209" s="23" t="str">
        <f t="shared" si="13"/>
        <v>OK</v>
      </c>
      <c r="H209" s="26">
        <f t="shared" si="14"/>
        <v>0.33472222222222225</v>
      </c>
      <c r="I209" s="23" t="str">
        <f t="shared" si="15"/>
        <v>NO OT</v>
      </c>
    </row>
    <row r="210" spans="1:9" x14ac:dyDescent="0.25">
      <c r="A210" s="23" t="s">
        <v>402</v>
      </c>
      <c r="B210" s="24">
        <v>46066</v>
      </c>
      <c r="C210" s="23" t="str">
        <f t="shared" si="12"/>
        <v>Friday</v>
      </c>
      <c r="D210" s="17" t="s">
        <v>269</v>
      </c>
      <c r="E210" s="17" t="s">
        <v>292</v>
      </c>
      <c r="F210" s="17" t="s">
        <v>372</v>
      </c>
      <c r="G210" s="23" t="str">
        <f t="shared" si="13"/>
        <v>OK</v>
      </c>
      <c r="H210" s="26">
        <f t="shared" si="14"/>
        <v>0.32708333333333334</v>
      </c>
      <c r="I210" s="23" t="str">
        <f t="shared" si="15"/>
        <v>NO OT</v>
      </c>
    </row>
    <row r="211" spans="1:9" x14ac:dyDescent="0.25">
      <c r="A211" s="23" t="s">
        <v>402</v>
      </c>
      <c r="B211" s="24">
        <v>46067</v>
      </c>
      <c r="C211" s="23" t="str">
        <f t="shared" si="12"/>
        <v>Saturday</v>
      </c>
      <c r="D211" s="17" t="s">
        <v>416</v>
      </c>
      <c r="E211" s="17" t="s">
        <v>417</v>
      </c>
      <c r="F211" s="17" t="s">
        <v>418</v>
      </c>
      <c r="G211" s="23" t="str">
        <f t="shared" si="13"/>
        <v>OK</v>
      </c>
      <c r="H211" s="26">
        <f t="shared" si="14"/>
        <v>0.48749999999999999</v>
      </c>
      <c r="I211" s="23" t="str">
        <f t="shared" si="15"/>
        <v>02:41</v>
      </c>
    </row>
    <row r="212" spans="1:9" x14ac:dyDescent="0.25">
      <c r="A212" s="23" t="s">
        <v>402</v>
      </c>
      <c r="B212" s="24">
        <v>46068</v>
      </c>
      <c r="C212" s="58" t="str">
        <f>TEXT(B212, "dddd")</f>
        <v>Sunday</v>
      </c>
      <c r="D212" s="59"/>
      <c r="E212" s="59"/>
      <c r="F212" s="59"/>
    </row>
    <row r="213" spans="1:9" x14ac:dyDescent="0.25">
      <c r="A213" s="23" t="s">
        <v>402</v>
      </c>
      <c r="B213" s="24">
        <v>46069</v>
      </c>
      <c r="C213" s="23" t="str">
        <f t="shared" si="12"/>
        <v>Monday</v>
      </c>
      <c r="D213" s="17" t="s">
        <v>258</v>
      </c>
      <c r="E213" s="17" t="s">
        <v>214</v>
      </c>
      <c r="F213" s="17" t="s">
        <v>221</v>
      </c>
      <c r="G213" s="23" t="str">
        <f t="shared" si="13"/>
        <v>OK</v>
      </c>
      <c r="H213" s="26">
        <f t="shared" si="14"/>
        <v>0.33333333333333337</v>
      </c>
      <c r="I213" s="23" t="str">
        <f t="shared" si="15"/>
        <v>NO OT</v>
      </c>
    </row>
    <row r="214" spans="1:9" x14ac:dyDescent="0.25">
      <c r="A214" s="23" t="s">
        <v>402</v>
      </c>
      <c r="B214" s="24">
        <v>46070</v>
      </c>
      <c r="C214" s="23" t="str">
        <f t="shared" si="12"/>
        <v>Tuesday</v>
      </c>
      <c r="D214" s="17" t="s">
        <v>272</v>
      </c>
      <c r="E214" s="17" t="s">
        <v>317</v>
      </c>
      <c r="F214" s="17" t="s">
        <v>208</v>
      </c>
      <c r="G214" s="23" t="str">
        <f t="shared" si="13"/>
        <v>OK</v>
      </c>
      <c r="H214" s="26">
        <f t="shared" si="14"/>
        <v>0.32152777777777775</v>
      </c>
      <c r="I214" s="23" t="str">
        <f t="shared" si="15"/>
        <v>NO OT</v>
      </c>
    </row>
    <row r="215" spans="1:9" x14ac:dyDescent="0.25">
      <c r="A215" s="23" t="s">
        <v>402</v>
      </c>
      <c r="B215" s="24">
        <v>46071</v>
      </c>
      <c r="C215" s="23" t="str">
        <f t="shared" si="12"/>
        <v>Wednesday</v>
      </c>
      <c r="D215" s="17" t="s">
        <v>279</v>
      </c>
      <c r="E215" s="17" t="s">
        <v>12</v>
      </c>
      <c r="F215" s="17" t="s">
        <v>188</v>
      </c>
      <c r="G215" s="23" t="str">
        <f t="shared" si="13"/>
        <v>OK</v>
      </c>
      <c r="H215" s="26">
        <f t="shared" si="14"/>
        <v>-0.42986111111111114</v>
      </c>
      <c r="I215" s="23" t="str">
        <f t="shared" si="15"/>
        <v>NO OT</v>
      </c>
    </row>
    <row r="216" spans="1:9" x14ac:dyDescent="0.25">
      <c r="A216" s="23" t="s">
        <v>402</v>
      </c>
      <c r="B216" s="24">
        <v>46072</v>
      </c>
      <c r="C216" s="23" t="str">
        <f t="shared" si="12"/>
        <v>Thursday</v>
      </c>
      <c r="D216" s="17" t="s">
        <v>419</v>
      </c>
      <c r="E216" s="17" t="s">
        <v>339</v>
      </c>
      <c r="F216" s="17" t="s">
        <v>420</v>
      </c>
      <c r="G216" s="23" t="str">
        <f t="shared" si="13"/>
        <v>OK</v>
      </c>
      <c r="H216" s="26">
        <f t="shared" si="14"/>
        <v>0.34722222222222215</v>
      </c>
      <c r="I216" s="23" t="str">
        <f t="shared" si="15"/>
        <v>NO OT</v>
      </c>
    </row>
    <row r="217" spans="1:9" x14ac:dyDescent="0.25">
      <c r="A217" s="23" t="s">
        <v>402</v>
      </c>
      <c r="B217" s="24">
        <v>46073</v>
      </c>
      <c r="C217" s="23" t="str">
        <f t="shared" si="12"/>
        <v>Friday</v>
      </c>
      <c r="D217" s="17" t="s">
        <v>419</v>
      </c>
      <c r="E217" s="17" t="s">
        <v>12</v>
      </c>
      <c r="F217" s="17" t="s">
        <v>188</v>
      </c>
      <c r="G217" s="23" t="str">
        <f t="shared" si="13"/>
        <v>OK</v>
      </c>
      <c r="H217" s="26">
        <f t="shared" si="14"/>
        <v>-0.40972222222222227</v>
      </c>
      <c r="I217" s="23" t="str">
        <f t="shared" si="15"/>
        <v>NO OT</v>
      </c>
    </row>
    <row r="218" spans="1:9" x14ac:dyDescent="0.25">
      <c r="A218" s="23" t="s">
        <v>402</v>
      </c>
      <c r="B218" s="24">
        <v>46074</v>
      </c>
      <c r="C218" s="23" t="str">
        <f t="shared" si="12"/>
        <v>Saturday</v>
      </c>
      <c r="D218" s="17" t="s">
        <v>421</v>
      </c>
      <c r="E218" s="17" t="s">
        <v>12</v>
      </c>
      <c r="F218" s="17" t="s">
        <v>188</v>
      </c>
      <c r="G218" s="23" t="str">
        <f t="shared" si="13"/>
        <v>OK</v>
      </c>
      <c r="H218" s="26">
        <f t="shared" si="14"/>
        <v>-0.42152777777777778</v>
      </c>
      <c r="I218" s="23" t="str">
        <f t="shared" si="15"/>
        <v>NO OT</v>
      </c>
    </row>
    <row r="219" spans="1:9" x14ac:dyDescent="0.25">
      <c r="A219" s="23" t="s">
        <v>402</v>
      </c>
      <c r="B219" s="24">
        <v>46075</v>
      </c>
      <c r="C219" s="58" t="str">
        <f>TEXT(B219, "dddd")</f>
        <v>Sunday</v>
      </c>
      <c r="D219" s="59"/>
      <c r="E219" s="59"/>
      <c r="F219" s="59"/>
    </row>
    <row r="220" spans="1:9" x14ac:dyDescent="0.25">
      <c r="A220" s="23" t="s">
        <v>402</v>
      </c>
      <c r="B220" s="24">
        <v>46076</v>
      </c>
      <c r="C220" s="23" t="str">
        <f t="shared" si="12"/>
        <v>Monday</v>
      </c>
      <c r="D220" s="17" t="s">
        <v>205</v>
      </c>
      <c r="E220" s="17" t="s">
        <v>333</v>
      </c>
      <c r="F220" s="17" t="s">
        <v>301</v>
      </c>
      <c r="G220" s="23" t="str">
        <f t="shared" si="13"/>
        <v>OK</v>
      </c>
      <c r="H220" s="26">
        <f t="shared" si="14"/>
        <v>0.34305555555555556</v>
      </c>
      <c r="I220" s="23" t="str">
        <f t="shared" si="15"/>
        <v>NO OT</v>
      </c>
    </row>
    <row r="221" spans="1:9" x14ac:dyDescent="0.25">
      <c r="A221" s="23" t="s">
        <v>402</v>
      </c>
      <c r="B221" s="24">
        <v>46077</v>
      </c>
      <c r="C221" s="23" t="str">
        <f t="shared" si="12"/>
        <v>Tuesday</v>
      </c>
      <c r="D221" s="17" t="s">
        <v>421</v>
      </c>
      <c r="E221" s="17" t="s">
        <v>363</v>
      </c>
      <c r="F221" s="17" t="s">
        <v>358</v>
      </c>
      <c r="G221" s="23" t="str">
        <f t="shared" si="13"/>
        <v>OK</v>
      </c>
      <c r="H221" s="26">
        <f t="shared" si="14"/>
        <v>0.33958333333333329</v>
      </c>
      <c r="I221" s="23" t="str">
        <f t="shared" si="15"/>
        <v>NO OT</v>
      </c>
    </row>
    <row r="222" spans="1:9" x14ac:dyDescent="0.25">
      <c r="A222" s="23" t="s">
        <v>402</v>
      </c>
      <c r="B222" s="24">
        <v>46078</v>
      </c>
      <c r="C222" s="23" t="str">
        <f t="shared" si="12"/>
        <v>Wednesday</v>
      </c>
      <c r="D222" s="17" t="s">
        <v>279</v>
      </c>
      <c r="E222" s="17" t="s">
        <v>12</v>
      </c>
      <c r="F222" s="17" t="s">
        <v>188</v>
      </c>
      <c r="G222" s="23" t="str">
        <f t="shared" si="13"/>
        <v>OK</v>
      </c>
      <c r="H222" s="26">
        <f t="shared" si="14"/>
        <v>-0.42986111111111114</v>
      </c>
      <c r="I222" s="23" t="str">
        <f t="shared" si="15"/>
        <v>NO OT</v>
      </c>
    </row>
    <row r="223" spans="1:9" x14ac:dyDescent="0.25">
      <c r="A223" s="23" t="s">
        <v>402</v>
      </c>
      <c r="B223" s="24">
        <v>46079</v>
      </c>
      <c r="C223" s="23" t="str">
        <f t="shared" si="12"/>
        <v>Thursday</v>
      </c>
      <c r="D223" s="17" t="s">
        <v>12</v>
      </c>
      <c r="E223" s="17" t="s">
        <v>12</v>
      </c>
      <c r="F223" s="17" t="s">
        <v>12</v>
      </c>
      <c r="G223" s="23" t="str">
        <f t="shared" si="13"/>
        <v>ABSENT</v>
      </c>
      <c r="H223" s="26">
        <f t="shared" si="14"/>
        <v>-4.1666666666666664E-2</v>
      </c>
      <c r="I223" s="23" t="str">
        <f t="shared" si="15"/>
        <v>NO OT</v>
      </c>
    </row>
    <row r="224" spans="1:9" x14ac:dyDescent="0.25">
      <c r="A224" s="23" t="s">
        <v>402</v>
      </c>
      <c r="B224" s="24">
        <v>46080</v>
      </c>
      <c r="C224" s="23" t="str">
        <f t="shared" si="12"/>
        <v>Friday</v>
      </c>
      <c r="D224" s="17" t="s">
        <v>422</v>
      </c>
      <c r="E224" s="17" t="s">
        <v>319</v>
      </c>
      <c r="F224" s="17" t="s">
        <v>423</v>
      </c>
      <c r="G224" s="23" t="str">
        <f t="shared" si="13"/>
        <v>OK</v>
      </c>
      <c r="H224" s="26">
        <f t="shared" si="14"/>
        <v>0.3479166666666666</v>
      </c>
      <c r="I224" s="23" t="str">
        <f t="shared" si="15"/>
        <v>NO OT</v>
      </c>
    </row>
    <row r="225" spans="1:9" x14ac:dyDescent="0.25">
      <c r="A225" s="23" t="s">
        <v>402</v>
      </c>
      <c r="B225" s="24">
        <v>46081</v>
      </c>
      <c r="C225" s="23" t="str">
        <f t="shared" si="12"/>
        <v>Saturday</v>
      </c>
      <c r="D225" s="17" t="s">
        <v>412</v>
      </c>
      <c r="E225" s="17" t="s">
        <v>381</v>
      </c>
      <c r="F225" s="17" t="s">
        <v>350</v>
      </c>
      <c r="G225" s="23" t="str">
        <f t="shared" si="13"/>
        <v>OK</v>
      </c>
      <c r="H225" s="26">
        <f t="shared" si="14"/>
        <v>0.33402777777777776</v>
      </c>
      <c r="I225" s="23" t="str">
        <f t="shared" si="15"/>
        <v>NO OT</v>
      </c>
    </row>
    <row r="226" spans="1:9" x14ac:dyDescent="0.25">
      <c r="A226" s="23" t="s">
        <v>424</v>
      </c>
      <c r="B226" s="24">
        <v>46054</v>
      </c>
      <c r="C226" s="58" t="str">
        <f>TEXT(B226, "dddd")</f>
        <v>Sunday</v>
      </c>
      <c r="D226" s="59"/>
      <c r="E226" s="59"/>
      <c r="F226" s="59"/>
    </row>
    <row r="227" spans="1:9" x14ac:dyDescent="0.25">
      <c r="A227" s="23" t="s">
        <v>424</v>
      </c>
      <c r="B227" s="24">
        <v>46055</v>
      </c>
      <c r="C227" s="23" t="str">
        <f t="shared" si="12"/>
        <v>Monday</v>
      </c>
      <c r="D227" s="17" t="s">
        <v>12</v>
      </c>
      <c r="E227" s="17" t="s">
        <v>12</v>
      </c>
      <c r="F227" s="17" t="s">
        <v>12</v>
      </c>
      <c r="G227" s="23" t="str">
        <f t="shared" si="13"/>
        <v>ABSENT</v>
      </c>
      <c r="H227" s="26">
        <f t="shared" si="14"/>
        <v>-4.1666666666666664E-2</v>
      </c>
      <c r="I227" s="23" t="str">
        <f t="shared" si="15"/>
        <v>NO OT</v>
      </c>
    </row>
    <row r="228" spans="1:9" x14ac:dyDescent="0.25">
      <c r="A228" s="23" t="s">
        <v>424</v>
      </c>
      <c r="B228" s="24">
        <v>46056</v>
      </c>
      <c r="C228" s="23" t="str">
        <f t="shared" si="12"/>
        <v>Tuesday</v>
      </c>
      <c r="D228" s="17" t="s">
        <v>12</v>
      </c>
      <c r="E228" s="17" t="s">
        <v>12</v>
      </c>
      <c r="F228" s="17" t="s">
        <v>12</v>
      </c>
      <c r="G228" s="23" t="str">
        <f t="shared" si="13"/>
        <v>ABSENT</v>
      </c>
      <c r="H228" s="26">
        <f t="shared" si="14"/>
        <v>-4.1666666666666664E-2</v>
      </c>
      <c r="I228" s="23" t="str">
        <f t="shared" si="15"/>
        <v>NO OT</v>
      </c>
    </row>
    <row r="229" spans="1:9" x14ac:dyDescent="0.25">
      <c r="A229" s="23" t="s">
        <v>424</v>
      </c>
      <c r="B229" s="24">
        <v>46057</v>
      </c>
      <c r="C229" s="23" t="str">
        <f t="shared" si="12"/>
        <v>Wednesday</v>
      </c>
      <c r="D229" s="17" t="s">
        <v>181</v>
      </c>
      <c r="E229" s="17" t="s">
        <v>425</v>
      </c>
      <c r="F229" s="17" t="s">
        <v>426</v>
      </c>
      <c r="G229" s="23" t="str">
        <f t="shared" si="13"/>
        <v>LATE</v>
      </c>
      <c r="H229" s="26">
        <f t="shared" si="14"/>
        <v>0.25902777777777775</v>
      </c>
      <c r="I229" s="23" t="str">
        <f t="shared" si="15"/>
        <v>NO OT</v>
      </c>
    </row>
    <row r="230" spans="1:9" x14ac:dyDescent="0.25">
      <c r="A230" s="23" t="s">
        <v>424</v>
      </c>
      <c r="B230" s="24">
        <v>46058</v>
      </c>
      <c r="C230" s="23" t="str">
        <f t="shared" si="12"/>
        <v>Thursday</v>
      </c>
      <c r="D230" s="17" t="s">
        <v>12</v>
      </c>
      <c r="E230" s="17" t="s">
        <v>12</v>
      </c>
      <c r="F230" s="17" t="s">
        <v>12</v>
      </c>
      <c r="G230" s="23" t="str">
        <f t="shared" si="13"/>
        <v>ABSENT</v>
      </c>
      <c r="H230" s="26">
        <f t="shared" si="14"/>
        <v>-4.1666666666666664E-2</v>
      </c>
      <c r="I230" s="23" t="str">
        <f t="shared" si="15"/>
        <v>NO OT</v>
      </c>
    </row>
    <row r="231" spans="1:9" x14ac:dyDescent="0.25">
      <c r="A231" s="23" t="s">
        <v>424</v>
      </c>
      <c r="B231" s="24">
        <v>46059</v>
      </c>
      <c r="C231" s="23" t="str">
        <f t="shared" si="12"/>
        <v>Friday</v>
      </c>
      <c r="D231" s="17" t="s">
        <v>182</v>
      </c>
      <c r="E231" s="17" t="s">
        <v>381</v>
      </c>
      <c r="F231" s="17" t="s">
        <v>427</v>
      </c>
      <c r="G231" s="23" t="str">
        <f t="shared" si="13"/>
        <v>LATE</v>
      </c>
      <c r="H231" s="26">
        <f t="shared" si="14"/>
        <v>0.28055555555555556</v>
      </c>
      <c r="I231" s="23" t="str">
        <f t="shared" si="15"/>
        <v>NO OT</v>
      </c>
    </row>
    <row r="232" spans="1:9" x14ac:dyDescent="0.25">
      <c r="A232" s="23" t="s">
        <v>424</v>
      </c>
      <c r="B232" s="24">
        <v>46060</v>
      </c>
      <c r="C232" s="23" t="str">
        <f t="shared" si="12"/>
        <v>Saturday</v>
      </c>
      <c r="D232" s="17" t="s">
        <v>182</v>
      </c>
      <c r="E232" s="17" t="s">
        <v>340</v>
      </c>
      <c r="F232" s="17" t="s">
        <v>428</v>
      </c>
      <c r="G232" s="23" t="str">
        <f t="shared" si="13"/>
        <v>LATE</v>
      </c>
      <c r="H232" s="26">
        <f t="shared" si="14"/>
        <v>0.28194444444444444</v>
      </c>
      <c r="I232" s="23" t="str">
        <f t="shared" si="15"/>
        <v>NO OT</v>
      </c>
    </row>
    <row r="233" spans="1:9" x14ac:dyDescent="0.25">
      <c r="A233" s="23" t="s">
        <v>424</v>
      </c>
      <c r="B233" s="24">
        <v>46061</v>
      </c>
      <c r="C233" s="58" t="str">
        <f>TEXT(B233, "dddd")</f>
        <v>Sunday</v>
      </c>
      <c r="D233" s="59"/>
      <c r="E233" s="59"/>
      <c r="F233" s="59"/>
    </row>
    <row r="234" spans="1:9" x14ac:dyDescent="0.25">
      <c r="A234" s="23" t="s">
        <v>424</v>
      </c>
      <c r="B234" s="24">
        <v>46062</v>
      </c>
      <c r="C234" s="23" t="str">
        <f t="shared" si="12"/>
        <v>Monday</v>
      </c>
      <c r="D234" s="17" t="s">
        <v>126</v>
      </c>
      <c r="E234" s="17" t="s">
        <v>425</v>
      </c>
      <c r="F234" s="17" t="s">
        <v>429</v>
      </c>
      <c r="G234" s="23" t="str">
        <f t="shared" si="13"/>
        <v>LATE</v>
      </c>
      <c r="H234" s="26">
        <f t="shared" si="14"/>
        <v>0.2638888888888889</v>
      </c>
      <c r="I234" s="23" t="str">
        <f t="shared" si="15"/>
        <v>NO OT</v>
      </c>
    </row>
    <row r="235" spans="1:9" x14ac:dyDescent="0.25">
      <c r="A235" s="23" t="s">
        <v>424</v>
      </c>
      <c r="B235" s="24">
        <v>46063</v>
      </c>
      <c r="C235" s="23" t="str">
        <f t="shared" si="12"/>
        <v>Tuesday</v>
      </c>
      <c r="D235" s="17" t="s">
        <v>12</v>
      </c>
      <c r="E235" s="17" t="s">
        <v>12</v>
      </c>
      <c r="F235" s="17" t="s">
        <v>12</v>
      </c>
      <c r="G235" s="23" t="str">
        <f t="shared" si="13"/>
        <v>ABSENT</v>
      </c>
      <c r="H235" s="26">
        <f t="shared" si="14"/>
        <v>-4.1666666666666664E-2</v>
      </c>
      <c r="I235" s="23" t="str">
        <f t="shared" si="15"/>
        <v>NO OT</v>
      </c>
    </row>
    <row r="236" spans="1:9" x14ac:dyDescent="0.25">
      <c r="A236" s="23" t="s">
        <v>424</v>
      </c>
      <c r="B236" s="24">
        <v>46064</v>
      </c>
      <c r="C236" s="23" t="str">
        <f t="shared" si="12"/>
        <v>Wednesday</v>
      </c>
      <c r="D236" s="17" t="s">
        <v>165</v>
      </c>
      <c r="E236" s="17" t="s">
        <v>430</v>
      </c>
      <c r="F236" s="17" t="s">
        <v>431</v>
      </c>
      <c r="G236" s="23" t="str">
        <f t="shared" si="13"/>
        <v>LATE</v>
      </c>
      <c r="H236" s="26">
        <f t="shared" si="14"/>
        <v>0.22569444444444445</v>
      </c>
      <c r="I236" s="23" t="str">
        <f t="shared" si="15"/>
        <v>NO OT</v>
      </c>
    </row>
    <row r="237" spans="1:9" x14ac:dyDescent="0.25">
      <c r="A237" s="23" t="s">
        <v>424</v>
      </c>
      <c r="B237" s="24">
        <v>46065</v>
      </c>
      <c r="C237" s="23" t="str">
        <f t="shared" si="12"/>
        <v>Thursday</v>
      </c>
      <c r="D237" s="17" t="s">
        <v>183</v>
      </c>
      <c r="E237" s="17" t="s">
        <v>432</v>
      </c>
      <c r="F237" s="17" t="s">
        <v>433</v>
      </c>
      <c r="G237" s="23" t="str">
        <f t="shared" si="13"/>
        <v>LATE</v>
      </c>
      <c r="H237" s="26">
        <f t="shared" si="14"/>
        <v>0.27013888888888893</v>
      </c>
      <c r="I237" s="23" t="str">
        <f t="shared" si="15"/>
        <v>NO OT</v>
      </c>
    </row>
    <row r="238" spans="1:9" x14ac:dyDescent="0.25">
      <c r="A238" s="23" t="s">
        <v>424</v>
      </c>
      <c r="B238" s="24">
        <v>46066</v>
      </c>
      <c r="C238" s="23" t="str">
        <f t="shared" si="12"/>
        <v>Friday</v>
      </c>
      <c r="D238" s="17" t="s">
        <v>184</v>
      </c>
      <c r="E238" s="17" t="s">
        <v>434</v>
      </c>
      <c r="F238" s="17" t="s">
        <v>435</v>
      </c>
      <c r="G238" s="23" t="str">
        <f t="shared" si="13"/>
        <v>LATE</v>
      </c>
      <c r="H238" s="26">
        <f t="shared" si="14"/>
        <v>0.27152777777777776</v>
      </c>
      <c r="I238" s="23" t="str">
        <f t="shared" si="15"/>
        <v>NO OT</v>
      </c>
    </row>
    <row r="239" spans="1:9" x14ac:dyDescent="0.25">
      <c r="A239" s="23" t="s">
        <v>424</v>
      </c>
      <c r="B239" s="24">
        <v>46067</v>
      </c>
      <c r="C239" s="23" t="str">
        <f t="shared" si="12"/>
        <v>Saturday</v>
      </c>
      <c r="D239" s="17" t="s">
        <v>185</v>
      </c>
      <c r="E239" s="17" t="s">
        <v>381</v>
      </c>
      <c r="F239" s="17" t="s">
        <v>436</v>
      </c>
      <c r="G239" s="23" t="str">
        <f t="shared" si="13"/>
        <v>LATE</v>
      </c>
      <c r="H239" s="26">
        <f t="shared" si="14"/>
        <v>0.27708333333333335</v>
      </c>
      <c r="I239" s="23" t="str">
        <f t="shared" si="15"/>
        <v>NO OT</v>
      </c>
    </row>
    <row r="240" spans="1:9" x14ac:dyDescent="0.25">
      <c r="A240" s="23" t="s">
        <v>424</v>
      </c>
      <c r="B240" s="24">
        <v>46068</v>
      </c>
      <c r="C240" s="58" t="str">
        <f>TEXT(B240, "dddd")</f>
        <v>Sunday</v>
      </c>
      <c r="D240" s="59"/>
      <c r="E240" s="59"/>
      <c r="F240" s="59"/>
    </row>
    <row r="241" spans="1:9" x14ac:dyDescent="0.25">
      <c r="A241" s="23" t="s">
        <v>424</v>
      </c>
      <c r="B241" s="24">
        <v>46069</v>
      </c>
      <c r="C241" s="23" t="str">
        <f t="shared" si="12"/>
        <v>Monday</v>
      </c>
      <c r="D241" s="17" t="s">
        <v>12</v>
      </c>
      <c r="E241" s="17" t="s">
        <v>12</v>
      </c>
      <c r="F241" s="17" t="s">
        <v>12</v>
      </c>
      <c r="G241" s="23" t="str">
        <f t="shared" si="13"/>
        <v>ABSENT</v>
      </c>
      <c r="H241" s="26">
        <f t="shared" si="14"/>
        <v>-4.1666666666666664E-2</v>
      </c>
      <c r="I241" s="23" t="str">
        <f t="shared" si="15"/>
        <v>NO OT</v>
      </c>
    </row>
    <row r="242" spans="1:9" x14ac:dyDescent="0.25">
      <c r="A242" s="23" t="s">
        <v>424</v>
      </c>
      <c r="B242" s="24">
        <v>46070</v>
      </c>
      <c r="C242" s="23" t="str">
        <f t="shared" si="12"/>
        <v>Tuesday</v>
      </c>
      <c r="D242" s="17" t="s">
        <v>83</v>
      </c>
      <c r="E242" s="17" t="s">
        <v>381</v>
      </c>
      <c r="F242" s="17" t="s">
        <v>437</v>
      </c>
      <c r="G242" s="23" t="str">
        <f t="shared" si="13"/>
        <v>LATE</v>
      </c>
      <c r="H242" s="26">
        <f t="shared" si="14"/>
        <v>0.27499999999999997</v>
      </c>
      <c r="I242" s="23" t="str">
        <f t="shared" si="15"/>
        <v>NO OT</v>
      </c>
    </row>
    <row r="243" spans="1:9" x14ac:dyDescent="0.25">
      <c r="A243" s="23" t="s">
        <v>424</v>
      </c>
      <c r="B243" s="24">
        <v>46071</v>
      </c>
      <c r="C243" s="23" t="str">
        <f t="shared" si="12"/>
        <v>Wednesday</v>
      </c>
      <c r="D243" s="17" t="s">
        <v>186</v>
      </c>
      <c r="E243" s="17" t="s">
        <v>12</v>
      </c>
      <c r="F243" s="17" t="s">
        <v>188</v>
      </c>
      <c r="G243" s="23" t="str">
        <f t="shared" si="13"/>
        <v>LATE</v>
      </c>
      <c r="H243" s="26">
        <f t="shared" si="14"/>
        <v>-0.46875</v>
      </c>
      <c r="I243" s="23" t="str">
        <f t="shared" si="15"/>
        <v>NO OT</v>
      </c>
    </row>
    <row r="244" spans="1:9" x14ac:dyDescent="0.25">
      <c r="A244" s="23" t="s">
        <v>424</v>
      </c>
      <c r="B244" s="24">
        <v>46072</v>
      </c>
      <c r="C244" s="23" t="str">
        <f t="shared" si="12"/>
        <v>Thursday</v>
      </c>
      <c r="D244" s="17" t="s">
        <v>438</v>
      </c>
      <c r="E244" s="17" t="s">
        <v>12</v>
      </c>
      <c r="F244" s="17" t="s">
        <v>188</v>
      </c>
      <c r="G244" s="23" t="str">
        <f t="shared" si="13"/>
        <v>LATE</v>
      </c>
      <c r="H244" s="26">
        <f t="shared" si="14"/>
        <v>-0.77777777777777779</v>
      </c>
      <c r="I244" s="23" t="str">
        <f t="shared" si="15"/>
        <v>NO OT</v>
      </c>
    </row>
    <row r="245" spans="1:9" x14ac:dyDescent="0.25">
      <c r="A245" s="23" t="s">
        <v>424</v>
      </c>
      <c r="B245" s="24">
        <v>46073</v>
      </c>
      <c r="C245" s="23" t="str">
        <f t="shared" si="12"/>
        <v>Friday</v>
      </c>
      <c r="D245" s="17" t="s">
        <v>185</v>
      </c>
      <c r="E245" s="17" t="s">
        <v>379</v>
      </c>
      <c r="F245" s="17" t="s">
        <v>439</v>
      </c>
      <c r="G245" s="23" t="str">
        <f t="shared" si="13"/>
        <v>LATE</v>
      </c>
      <c r="H245" s="26">
        <f t="shared" si="14"/>
        <v>0.2680555555555556</v>
      </c>
      <c r="I245" s="23" t="str">
        <f t="shared" si="15"/>
        <v>NO OT</v>
      </c>
    </row>
    <row r="246" spans="1:9" x14ac:dyDescent="0.25">
      <c r="A246" s="23" t="s">
        <v>424</v>
      </c>
      <c r="B246" s="24">
        <v>46074</v>
      </c>
      <c r="C246" s="23" t="str">
        <f t="shared" si="12"/>
        <v>Saturday</v>
      </c>
      <c r="D246" s="17" t="s">
        <v>12</v>
      </c>
      <c r="E246" s="17" t="s">
        <v>12</v>
      </c>
      <c r="F246" s="17" t="s">
        <v>12</v>
      </c>
      <c r="G246" s="23" t="str">
        <f t="shared" si="13"/>
        <v>ABSENT</v>
      </c>
      <c r="H246" s="26">
        <f t="shared" si="14"/>
        <v>-4.1666666666666664E-2</v>
      </c>
      <c r="I246" s="23" t="str">
        <f t="shared" si="15"/>
        <v>NO OT</v>
      </c>
    </row>
    <row r="247" spans="1:9" x14ac:dyDescent="0.25">
      <c r="A247" s="23" t="s">
        <v>424</v>
      </c>
      <c r="B247" s="24">
        <v>46075</v>
      </c>
      <c r="C247" s="58" t="str">
        <f>TEXT(B247, "dddd")</f>
        <v>Sunday</v>
      </c>
      <c r="D247" s="59"/>
      <c r="E247" s="59"/>
      <c r="F247" s="59"/>
    </row>
    <row r="248" spans="1:9" x14ac:dyDescent="0.25">
      <c r="A248" s="23" t="s">
        <v>424</v>
      </c>
      <c r="B248" s="24">
        <v>46076</v>
      </c>
      <c r="C248" s="23" t="str">
        <f t="shared" si="12"/>
        <v>Monday</v>
      </c>
      <c r="D248" s="17" t="s">
        <v>187</v>
      </c>
      <c r="E248" s="17" t="s">
        <v>12</v>
      </c>
      <c r="F248" s="17" t="s">
        <v>188</v>
      </c>
      <c r="G248" s="23" t="str">
        <f t="shared" si="13"/>
        <v>LATE</v>
      </c>
      <c r="H248" s="26">
        <f t="shared" si="14"/>
        <v>-0.46597222222222223</v>
      </c>
      <c r="I248" s="23" t="str">
        <f t="shared" si="15"/>
        <v>NO OT</v>
      </c>
    </row>
    <row r="249" spans="1:9" x14ac:dyDescent="0.25">
      <c r="A249" s="23" t="s">
        <v>424</v>
      </c>
      <c r="B249" s="24">
        <v>46077</v>
      </c>
      <c r="C249" s="23" t="str">
        <f t="shared" si="12"/>
        <v>Tuesday</v>
      </c>
      <c r="D249" s="17" t="s">
        <v>183</v>
      </c>
      <c r="E249" s="17" t="s">
        <v>440</v>
      </c>
      <c r="F249" s="17" t="s">
        <v>441</v>
      </c>
      <c r="G249" s="23" t="str">
        <f t="shared" si="13"/>
        <v>LATE</v>
      </c>
      <c r="H249" s="26">
        <f t="shared" si="14"/>
        <v>0.26111111111111107</v>
      </c>
      <c r="I249" s="23" t="str">
        <f t="shared" si="15"/>
        <v>NO OT</v>
      </c>
    </row>
    <row r="250" spans="1:9" x14ac:dyDescent="0.25">
      <c r="A250" s="23" t="s">
        <v>424</v>
      </c>
      <c r="B250" s="24">
        <v>46078</v>
      </c>
      <c r="C250" s="23" t="str">
        <f t="shared" si="12"/>
        <v>Wednesday</v>
      </c>
      <c r="D250" s="17" t="s">
        <v>187</v>
      </c>
      <c r="E250" s="17" t="s">
        <v>381</v>
      </c>
      <c r="F250" s="17" t="s">
        <v>395</v>
      </c>
      <c r="G250" s="23" t="str">
        <f t="shared" si="13"/>
        <v>LATE</v>
      </c>
      <c r="H250" s="26">
        <f t="shared" si="14"/>
        <v>0.28125</v>
      </c>
      <c r="I250" s="23" t="str">
        <f t="shared" si="15"/>
        <v>NO OT</v>
      </c>
    </row>
    <row r="251" spans="1:9" x14ac:dyDescent="0.25">
      <c r="A251" s="23" t="s">
        <v>424</v>
      </c>
      <c r="B251" s="24">
        <v>46079</v>
      </c>
      <c r="C251" s="23" t="str">
        <f t="shared" si="12"/>
        <v>Thursday</v>
      </c>
      <c r="D251" s="17" t="s">
        <v>145</v>
      </c>
      <c r="E251" s="17" t="s">
        <v>442</v>
      </c>
      <c r="F251" s="17" t="s">
        <v>435</v>
      </c>
      <c r="G251" s="23" t="str">
        <f t="shared" si="13"/>
        <v>LATE</v>
      </c>
      <c r="H251" s="26">
        <f t="shared" si="14"/>
        <v>0.27152777777777781</v>
      </c>
      <c r="I251" s="23" t="str">
        <f t="shared" si="15"/>
        <v>NO OT</v>
      </c>
    </row>
    <row r="252" spans="1:9" x14ac:dyDescent="0.25">
      <c r="A252" s="23" t="s">
        <v>424</v>
      </c>
      <c r="B252" s="24">
        <v>46080</v>
      </c>
      <c r="C252" s="23" t="str">
        <f t="shared" si="12"/>
        <v>Friday</v>
      </c>
      <c r="D252" s="17" t="s">
        <v>185</v>
      </c>
      <c r="E252" s="17" t="s">
        <v>432</v>
      </c>
      <c r="F252" s="17" t="s">
        <v>443</v>
      </c>
      <c r="G252" s="23" t="str">
        <f t="shared" si="13"/>
        <v>LATE</v>
      </c>
      <c r="H252" s="26">
        <f t="shared" si="14"/>
        <v>0.27083333333333337</v>
      </c>
      <c r="I252" s="23" t="str">
        <f t="shared" si="15"/>
        <v>NO OT</v>
      </c>
    </row>
    <row r="253" spans="1:9" x14ac:dyDescent="0.25">
      <c r="A253" s="23" t="s">
        <v>424</v>
      </c>
      <c r="B253" s="24">
        <v>46081</v>
      </c>
      <c r="C253" s="23" t="str">
        <f t="shared" si="12"/>
        <v>Saturday</v>
      </c>
      <c r="D253" s="17" t="s">
        <v>144</v>
      </c>
      <c r="E253" s="17" t="s">
        <v>444</v>
      </c>
      <c r="F253" s="17" t="s">
        <v>426</v>
      </c>
      <c r="G253" s="23" t="str">
        <f t="shared" si="13"/>
        <v>LATE</v>
      </c>
      <c r="H253" s="26">
        <f t="shared" si="14"/>
        <v>0.25902777777777775</v>
      </c>
      <c r="I253" s="23" t="str">
        <f t="shared" si="15"/>
        <v>NO OT</v>
      </c>
    </row>
    <row r="254" spans="1:9" x14ac:dyDescent="0.25">
      <c r="A254" s="23" t="s">
        <v>445</v>
      </c>
      <c r="B254" s="24">
        <v>46054</v>
      </c>
      <c r="C254" s="58" t="str">
        <f>TEXT(B254, "dddd")</f>
        <v>Sunday</v>
      </c>
      <c r="D254" s="59"/>
      <c r="E254" s="59"/>
      <c r="F254" s="59"/>
    </row>
    <row r="255" spans="1:9" x14ac:dyDescent="0.25">
      <c r="A255" s="23" t="s">
        <v>445</v>
      </c>
      <c r="B255" s="24">
        <v>46055</v>
      </c>
      <c r="C255" s="23" t="str">
        <f t="shared" si="12"/>
        <v>Monday</v>
      </c>
      <c r="D255" s="17" t="s">
        <v>12</v>
      </c>
      <c r="E255" s="17" t="s">
        <v>12</v>
      </c>
      <c r="F255" s="17" t="s">
        <v>12</v>
      </c>
      <c r="G255" s="23" t="str">
        <f t="shared" si="13"/>
        <v>ABSENT</v>
      </c>
      <c r="H255" s="26">
        <f t="shared" si="14"/>
        <v>-4.1666666666666664E-2</v>
      </c>
      <c r="I255" s="23" t="str">
        <f t="shared" si="15"/>
        <v>NO OT</v>
      </c>
    </row>
    <row r="256" spans="1:9" x14ac:dyDescent="0.25">
      <c r="A256" s="23" t="s">
        <v>445</v>
      </c>
      <c r="B256" s="24">
        <v>46056</v>
      </c>
      <c r="C256" s="23" t="str">
        <f t="shared" si="12"/>
        <v>Tuesday</v>
      </c>
      <c r="D256" s="17" t="s">
        <v>12</v>
      </c>
      <c r="E256" s="17" t="s">
        <v>12</v>
      </c>
      <c r="F256" s="17" t="s">
        <v>12</v>
      </c>
      <c r="G256" s="23" t="str">
        <f t="shared" si="13"/>
        <v>ABSENT</v>
      </c>
      <c r="H256" s="26">
        <f t="shared" si="14"/>
        <v>-4.1666666666666664E-2</v>
      </c>
      <c r="I256" s="23" t="str">
        <f t="shared" si="15"/>
        <v>NO OT</v>
      </c>
    </row>
    <row r="257" spans="1:9" x14ac:dyDescent="0.25">
      <c r="A257" s="23" t="s">
        <v>445</v>
      </c>
      <c r="B257" s="24">
        <v>46057</v>
      </c>
      <c r="C257" s="23" t="str">
        <f t="shared" si="12"/>
        <v>Wednesday</v>
      </c>
      <c r="D257" s="17" t="s">
        <v>12</v>
      </c>
      <c r="E257" s="17" t="s">
        <v>12</v>
      </c>
      <c r="F257" s="17" t="s">
        <v>12</v>
      </c>
      <c r="G257" s="23" t="str">
        <f t="shared" si="13"/>
        <v>ABSENT</v>
      </c>
      <c r="H257" s="26">
        <f t="shared" si="14"/>
        <v>-4.1666666666666664E-2</v>
      </c>
      <c r="I257" s="23" t="str">
        <f t="shared" si="15"/>
        <v>NO OT</v>
      </c>
    </row>
    <row r="258" spans="1:9" x14ac:dyDescent="0.25">
      <c r="A258" s="23" t="s">
        <v>445</v>
      </c>
      <c r="B258" s="24">
        <v>46058</v>
      </c>
      <c r="C258" s="23" t="str">
        <f t="shared" si="12"/>
        <v>Thursday</v>
      </c>
      <c r="D258" s="17" t="s">
        <v>12</v>
      </c>
      <c r="E258" s="17" t="s">
        <v>12</v>
      </c>
      <c r="F258" s="17" t="s">
        <v>12</v>
      </c>
      <c r="G258" s="23" t="str">
        <f t="shared" si="13"/>
        <v>ABSENT</v>
      </c>
      <c r="H258" s="26">
        <f t="shared" si="14"/>
        <v>-4.1666666666666664E-2</v>
      </c>
      <c r="I258" s="23" t="str">
        <f t="shared" si="15"/>
        <v>NO OT</v>
      </c>
    </row>
    <row r="259" spans="1:9" x14ac:dyDescent="0.25">
      <c r="A259" s="23" t="s">
        <v>445</v>
      </c>
      <c r="B259" s="24">
        <v>46059</v>
      </c>
      <c r="C259" s="23" t="str">
        <f t="shared" ref="C259:C281" si="16">TEXT(B259, "dddd")</f>
        <v>Friday</v>
      </c>
      <c r="D259" s="17" t="s">
        <v>12</v>
      </c>
      <c r="E259" s="17" t="s">
        <v>12</v>
      </c>
      <c r="F259" s="17" t="s">
        <v>12</v>
      </c>
      <c r="G259" s="23" t="str">
        <f t="shared" ref="G259:G281" si="17">IF(C259="Sunday", "SUNDAY", IF(OR(D259=0, D259="", D259="0:0"), "ABSENT", IF(MOD(D259,1) &gt; TIME(9,45,0), "LATE", "OK")))</f>
        <v>ABSENT</v>
      </c>
      <c r="H259" s="26">
        <f t="shared" ref="H259:H281" si="18">IF(OR(D259=0, D259="", E259=0, E259=""), 0, (E259-D259)-TIME(1,0,0))</f>
        <v>-4.1666666666666664E-2</v>
      </c>
      <c r="I259" s="23" t="str">
        <f t="shared" ref="I259:I281" si="19">IF(VALUE(E259) &gt; TIME(19,0,0), TEXT(VALUE(E259) - TIME(19,0,0), "hh:mm"), "NO OT")</f>
        <v>NO OT</v>
      </c>
    </row>
    <row r="260" spans="1:9" x14ac:dyDescent="0.25">
      <c r="A260" s="23" t="s">
        <v>445</v>
      </c>
      <c r="B260" s="24">
        <v>46060</v>
      </c>
      <c r="C260" s="23" t="str">
        <f t="shared" si="16"/>
        <v>Saturday</v>
      </c>
      <c r="D260" s="17" t="s">
        <v>12</v>
      </c>
      <c r="E260" s="17" t="s">
        <v>12</v>
      </c>
      <c r="F260" s="17" t="s">
        <v>12</v>
      </c>
      <c r="G260" s="23" t="str">
        <f t="shared" si="17"/>
        <v>ABSENT</v>
      </c>
      <c r="H260" s="26">
        <f t="shared" si="18"/>
        <v>-4.1666666666666664E-2</v>
      </c>
      <c r="I260" s="23" t="str">
        <f t="shared" si="19"/>
        <v>NO OT</v>
      </c>
    </row>
    <row r="261" spans="1:9" x14ac:dyDescent="0.25">
      <c r="A261" s="23" t="s">
        <v>445</v>
      </c>
      <c r="B261" s="24">
        <v>46061</v>
      </c>
      <c r="C261" s="58" t="str">
        <f>TEXT(B261, "dddd")</f>
        <v>Sunday</v>
      </c>
      <c r="D261" s="59"/>
      <c r="E261" s="59"/>
      <c r="F261" s="59"/>
    </row>
    <row r="262" spans="1:9" x14ac:dyDescent="0.25">
      <c r="A262" s="23" t="s">
        <v>445</v>
      </c>
      <c r="B262" s="24">
        <v>46062</v>
      </c>
      <c r="C262" s="23" t="str">
        <f t="shared" si="16"/>
        <v>Monday</v>
      </c>
      <c r="D262" s="17" t="s">
        <v>12</v>
      </c>
      <c r="E262" s="17" t="s">
        <v>12</v>
      </c>
      <c r="F262" s="17" t="s">
        <v>12</v>
      </c>
      <c r="G262" s="23" t="str">
        <f t="shared" si="17"/>
        <v>ABSENT</v>
      </c>
      <c r="H262" s="26">
        <f t="shared" si="18"/>
        <v>-4.1666666666666664E-2</v>
      </c>
      <c r="I262" s="23" t="str">
        <f t="shared" si="19"/>
        <v>NO OT</v>
      </c>
    </row>
    <row r="263" spans="1:9" x14ac:dyDescent="0.25">
      <c r="A263" s="23" t="s">
        <v>445</v>
      </c>
      <c r="B263" s="24">
        <v>46063</v>
      </c>
      <c r="C263" s="23" t="str">
        <f t="shared" si="16"/>
        <v>Tuesday</v>
      </c>
      <c r="D263" s="17" t="s">
        <v>12</v>
      </c>
      <c r="E263" s="17" t="s">
        <v>12</v>
      </c>
      <c r="F263" s="17" t="s">
        <v>12</v>
      </c>
      <c r="G263" s="23" t="str">
        <f t="shared" si="17"/>
        <v>ABSENT</v>
      </c>
      <c r="H263" s="26">
        <f t="shared" si="18"/>
        <v>-4.1666666666666664E-2</v>
      </c>
      <c r="I263" s="23" t="str">
        <f t="shared" si="19"/>
        <v>NO OT</v>
      </c>
    </row>
    <row r="264" spans="1:9" x14ac:dyDescent="0.25">
      <c r="A264" s="23" t="s">
        <v>445</v>
      </c>
      <c r="B264" s="24">
        <v>46064</v>
      </c>
      <c r="C264" s="23" t="str">
        <f t="shared" si="16"/>
        <v>Wednesday</v>
      </c>
      <c r="D264" s="17" t="s">
        <v>12</v>
      </c>
      <c r="E264" s="17" t="s">
        <v>12</v>
      </c>
      <c r="F264" s="17" t="s">
        <v>12</v>
      </c>
      <c r="G264" s="23" t="str">
        <f t="shared" si="17"/>
        <v>ABSENT</v>
      </c>
      <c r="H264" s="26">
        <f t="shared" si="18"/>
        <v>-4.1666666666666664E-2</v>
      </c>
      <c r="I264" s="23" t="str">
        <f t="shared" si="19"/>
        <v>NO OT</v>
      </c>
    </row>
    <row r="265" spans="1:9" x14ac:dyDescent="0.25">
      <c r="A265" s="23" t="s">
        <v>445</v>
      </c>
      <c r="B265" s="24">
        <v>46065</v>
      </c>
      <c r="C265" s="23" t="str">
        <f t="shared" si="16"/>
        <v>Thursday</v>
      </c>
      <c r="D265" s="17" t="s">
        <v>12</v>
      </c>
      <c r="E265" s="17" t="s">
        <v>12</v>
      </c>
      <c r="F265" s="17" t="s">
        <v>12</v>
      </c>
      <c r="G265" s="23" t="str">
        <f t="shared" si="17"/>
        <v>ABSENT</v>
      </c>
      <c r="H265" s="26">
        <f t="shared" si="18"/>
        <v>-4.1666666666666664E-2</v>
      </c>
      <c r="I265" s="23" t="str">
        <f t="shared" si="19"/>
        <v>NO OT</v>
      </c>
    </row>
    <row r="266" spans="1:9" x14ac:dyDescent="0.25">
      <c r="A266" s="23" t="s">
        <v>445</v>
      </c>
      <c r="B266" s="24">
        <v>46066</v>
      </c>
      <c r="C266" s="23" t="str">
        <f t="shared" si="16"/>
        <v>Friday</v>
      </c>
      <c r="D266" s="17" t="s">
        <v>12</v>
      </c>
      <c r="E266" s="17" t="s">
        <v>12</v>
      </c>
      <c r="F266" s="17" t="s">
        <v>12</v>
      </c>
      <c r="G266" s="23" t="str">
        <f t="shared" si="17"/>
        <v>ABSENT</v>
      </c>
      <c r="H266" s="26">
        <f t="shared" si="18"/>
        <v>-4.1666666666666664E-2</v>
      </c>
      <c r="I266" s="23" t="str">
        <f t="shared" si="19"/>
        <v>NO OT</v>
      </c>
    </row>
    <row r="267" spans="1:9" x14ac:dyDescent="0.25">
      <c r="A267" s="23" t="s">
        <v>445</v>
      </c>
      <c r="B267" s="24">
        <v>46067</v>
      </c>
      <c r="C267" s="23" t="str">
        <f t="shared" si="16"/>
        <v>Saturday</v>
      </c>
      <c r="D267" s="17" t="s">
        <v>12</v>
      </c>
      <c r="E267" s="17" t="s">
        <v>12</v>
      </c>
      <c r="F267" s="17" t="s">
        <v>12</v>
      </c>
      <c r="G267" s="23" t="str">
        <f t="shared" si="17"/>
        <v>ABSENT</v>
      </c>
      <c r="H267" s="26">
        <f t="shared" si="18"/>
        <v>-4.1666666666666664E-2</v>
      </c>
      <c r="I267" s="23" t="str">
        <f t="shared" si="19"/>
        <v>NO OT</v>
      </c>
    </row>
    <row r="268" spans="1:9" x14ac:dyDescent="0.25">
      <c r="A268" s="23" t="s">
        <v>445</v>
      </c>
      <c r="B268" s="24">
        <v>46068</v>
      </c>
      <c r="C268" s="58" t="str">
        <f>TEXT(B268, "dddd")</f>
        <v>Sunday</v>
      </c>
      <c r="D268" s="59"/>
      <c r="E268" s="59"/>
      <c r="F268" s="59"/>
    </row>
    <row r="269" spans="1:9" x14ac:dyDescent="0.25">
      <c r="A269" s="23" t="s">
        <v>445</v>
      </c>
      <c r="B269" s="24">
        <v>46069</v>
      </c>
      <c r="C269" s="23" t="str">
        <f t="shared" si="16"/>
        <v>Monday</v>
      </c>
      <c r="D269" s="17" t="s">
        <v>446</v>
      </c>
      <c r="E269" s="17" t="s">
        <v>267</v>
      </c>
      <c r="F269" s="17" t="s">
        <v>447</v>
      </c>
      <c r="G269" s="23" t="str">
        <f t="shared" si="17"/>
        <v>LATE</v>
      </c>
      <c r="H269" s="26">
        <f t="shared" si="18"/>
        <v>9.5138888888888967E-2</v>
      </c>
      <c r="I269" s="23" t="str">
        <f t="shared" si="19"/>
        <v>NO OT</v>
      </c>
    </row>
    <row r="270" spans="1:9" x14ac:dyDescent="0.25">
      <c r="A270" s="23" t="s">
        <v>445</v>
      </c>
      <c r="B270" s="24">
        <v>46070</v>
      </c>
      <c r="C270" s="23" t="str">
        <f t="shared" si="16"/>
        <v>Tuesday</v>
      </c>
      <c r="D270" s="17" t="s">
        <v>409</v>
      </c>
      <c r="E270" s="17" t="s">
        <v>12</v>
      </c>
      <c r="F270" s="17" t="s">
        <v>188</v>
      </c>
      <c r="G270" s="23" t="str">
        <f t="shared" si="17"/>
        <v>OK</v>
      </c>
      <c r="H270" s="26">
        <f t="shared" si="18"/>
        <v>-0.42291666666666666</v>
      </c>
      <c r="I270" s="23" t="str">
        <f t="shared" si="19"/>
        <v>NO OT</v>
      </c>
    </row>
    <row r="271" spans="1:9" x14ac:dyDescent="0.25">
      <c r="A271" s="23" t="s">
        <v>445</v>
      </c>
      <c r="B271" s="24">
        <v>46071</v>
      </c>
      <c r="C271" s="23" t="str">
        <f t="shared" si="16"/>
        <v>Wednesday</v>
      </c>
      <c r="D271" s="17" t="s">
        <v>364</v>
      </c>
      <c r="E271" s="17" t="s">
        <v>397</v>
      </c>
      <c r="F271" s="17" t="s">
        <v>448</v>
      </c>
      <c r="G271" s="23" t="str">
        <f t="shared" si="17"/>
        <v>OK</v>
      </c>
      <c r="H271" s="26">
        <f t="shared" si="18"/>
        <v>0.36041666666666661</v>
      </c>
      <c r="I271" s="23" t="str">
        <f t="shared" si="19"/>
        <v>NO OT</v>
      </c>
    </row>
    <row r="272" spans="1:9" x14ac:dyDescent="0.25">
      <c r="A272" s="23" t="s">
        <v>445</v>
      </c>
      <c r="B272" s="24">
        <v>46072</v>
      </c>
      <c r="C272" s="23" t="str">
        <f t="shared" si="16"/>
        <v>Thursday</v>
      </c>
      <c r="D272" s="17" t="s">
        <v>258</v>
      </c>
      <c r="E272" s="17" t="s">
        <v>339</v>
      </c>
      <c r="F272" s="17" t="s">
        <v>208</v>
      </c>
      <c r="G272" s="23" t="str">
        <f t="shared" si="17"/>
        <v>OK</v>
      </c>
      <c r="H272" s="26">
        <f t="shared" si="18"/>
        <v>0.32152777777777775</v>
      </c>
      <c r="I272" s="23" t="str">
        <f t="shared" si="19"/>
        <v>NO OT</v>
      </c>
    </row>
    <row r="273" spans="1:9" x14ac:dyDescent="0.25">
      <c r="A273" s="23" t="s">
        <v>445</v>
      </c>
      <c r="B273" s="24">
        <v>46073</v>
      </c>
      <c r="C273" s="23" t="str">
        <f t="shared" si="16"/>
        <v>Friday</v>
      </c>
      <c r="D273" s="17" t="s">
        <v>298</v>
      </c>
      <c r="E273" s="17" t="s">
        <v>12</v>
      </c>
      <c r="F273" s="17" t="s">
        <v>188</v>
      </c>
      <c r="G273" s="23" t="str">
        <f t="shared" si="17"/>
        <v>OK</v>
      </c>
      <c r="H273" s="26">
        <f t="shared" si="18"/>
        <v>-0.4236111111111111</v>
      </c>
      <c r="I273" s="23" t="str">
        <f t="shared" si="19"/>
        <v>NO OT</v>
      </c>
    </row>
    <row r="274" spans="1:9" x14ac:dyDescent="0.25">
      <c r="A274" s="23" t="s">
        <v>445</v>
      </c>
      <c r="B274" s="24">
        <v>46074</v>
      </c>
      <c r="C274" s="23" t="str">
        <f t="shared" si="16"/>
        <v>Saturday</v>
      </c>
      <c r="D274" s="17" t="s">
        <v>12</v>
      </c>
      <c r="E274" s="17" t="s">
        <v>12</v>
      </c>
      <c r="F274" s="17" t="s">
        <v>12</v>
      </c>
      <c r="G274" s="23" t="str">
        <f t="shared" si="17"/>
        <v>ABSENT</v>
      </c>
      <c r="H274" s="26">
        <f t="shared" si="18"/>
        <v>-4.1666666666666664E-2</v>
      </c>
      <c r="I274" s="23" t="str">
        <f t="shared" si="19"/>
        <v>NO OT</v>
      </c>
    </row>
    <row r="275" spans="1:9" x14ac:dyDescent="0.25">
      <c r="A275" s="23" t="s">
        <v>445</v>
      </c>
      <c r="B275" s="24">
        <v>46075</v>
      </c>
      <c r="C275" s="58" t="str">
        <f>TEXT(B275, "dddd")</f>
        <v>Sunday</v>
      </c>
      <c r="D275" s="59"/>
      <c r="E275" s="59"/>
      <c r="F275" s="59"/>
    </row>
    <row r="276" spans="1:9" x14ac:dyDescent="0.25">
      <c r="A276" s="23" t="s">
        <v>445</v>
      </c>
      <c r="B276" s="24">
        <v>46076</v>
      </c>
      <c r="C276" s="23" t="str">
        <f t="shared" si="16"/>
        <v>Monday</v>
      </c>
      <c r="D276" s="17" t="s">
        <v>403</v>
      </c>
      <c r="E276" s="17" t="s">
        <v>333</v>
      </c>
      <c r="F276" s="17" t="s">
        <v>449</v>
      </c>
      <c r="G276" s="23" t="str">
        <f t="shared" si="17"/>
        <v>OK</v>
      </c>
      <c r="H276" s="26">
        <f t="shared" si="18"/>
        <v>0.34375</v>
      </c>
      <c r="I276" s="23" t="str">
        <f t="shared" si="19"/>
        <v>NO OT</v>
      </c>
    </row>
    <row r="277" spans="1:9" x14ac:dyDescent="0.25">
      <c r="A277" s="23" t="s">
        <v>445</v>
      </c>
      <c r="B277" s="24">
        <v>46077</v>
      </c>
      <c r="C277" s="23" t="str">
        <f t="shared" si="16"/>
        <v>Tuesday</v>
      </c>
      <c r="D277" s="17" t="s">
        <v>450</v>
      </c>
      <c r="E277" s="17" t="s">
        <v>261</v>
      </c>
      <c r="F277" s="17" t="s">
        <v>248</v>
      </c>
      <c r="G277" s="23" t="str">
        <f t="shared" si="17"/>
        <v>OK</v>
      </c>
      <c r="H277" s="26">
        <f t="shared" si="18"/>
        <v>0.33749999999999991</v>
      </c>
      <c r="I277" s="23" t="str">
        <f t="shared" si="19"/>
        <v>NO OT</v>
      </c>
    </row>
    <row r="278" spans="1:9" x14ac:dyDescent="0.25">
      <c r="A278" s="23" t="s">
        <v>445</v>
      </c>
      <c r="B278" s="24">
        <v>46078</v>
      </c>
      <c r="C278" s="23" t="str">
        <f t="shared" si="16"/>
        <v>Wednesday</v>
      </c>
      <c r="D278" s="17" t="s">
        <v>403</v>
      </c>
      <c r="E278" s="17" t="s">
        <v>317</v>
      </c>
      <c r="F278" s="17" t="s">
        <v>191</v>
      </c>
      <c r="G278" s="23" t="str">
        <f t="shared" si="17"/>
        <v>OK</v>
      </c>
      <c r="H278" s="26">
        <f t="shared" si="18"/>
        <v>0.32916666666666661</v>
      </c>
      <c r="I278" s="23" t="str">
        <f t="shared" si="19"/>
        <v>NO OT</v>
      </c>
    </row>
    <row r="279" spans="1:9" x14ac:dyDescent="0.25">
      <c r="A279" s="23" t="s">
        <v>445</v>
      </c>
      <c r="B279" s="24">
        <v>46079</v>
      </c>
      <c r="C279" s="23" t="str">
        <f t="shared" si="16"/>
        <v>Thursday</v>
      </c>
      <c r="D279" s="17" t="s">
        <v>211</v>
      </c>
      <c r="E279" s="17" t="s">
        <v>434</v>
      </c>
      <c r="F279" s="17" t="s">
        <v>451</v>
      </c>
      <c r="G279" s="23" t="str">
        <f t="shared" si="17"/>
        <v>OK</v>
      </c>
      <c r="H279" s="26">
        <f t="shared" si="18"/>
        <v>0.30416666666666664</v>
      </c>
      <c r="I279" s="23" t="str">
        <f t="shared" si="19"/>
        <v>NO OT</v>
      </c>
    </row>
    <row r="280" spans="1:9" x14ac:dyDescent="0.25">
      <c r="A280" s="23" t="s">
        <v>445</v>
      </c>
      <c r="B280" s="24">
        <v>46080</v>
      </c>
      <c r="C280" s="23" t="str">
        <f t="shared" si="16"/>
        <v>Friday</v>
      </c>
      <c r="D280" s="17" t="s">
        <v>12</v>
      </c>
      <c r="E280" s="17" t="s">
        <v>12</v>
      </c>
      <c r="F280" s="17" t="s">
        <v>12</v>
      </c>
      <c r="G280" s="23" t="str">
        <f t="shared" si="17"/>
        <v>ABSENT</v>
      </c>
      <c r="H280" s="26">
        <f t="shared" si="18"/>
        <v>-4.1666666666666664E-2</v>
      </c>
      <c r="I280" s="23" t="str">
        <f t="shared" si="19"/>
        <v>NO OT</v>
      </c>
    </row>
    <row r="281" spans="1:9" x14ac:dyDescent="0.25">
      <c r="A281" s="23" t="s">
        <v>445</v>
      </c>
      <c r="B281" s="24">
        <v>46081</v>
      </c>
      <c r="C281" s="23" t="str">
        <f t="shared" si="16"/>
        <v>Saturday</v>
      </c>
      <c r="D281" s="17" t="s">
        <v>403</v>
      </c>
      <c r="E281" s="17" t="s">
        <v>12</v>
      </c>
      <c r="F281" s="17" t="s">
        <v>188</v>
      </c>
      <c r="G281" s="23" t="str">
        <f t="shared" si="17"/>
        <v>OK</v>
      </c>
      <c r="H281" s="26">
        <f t="shared" si="18"/>
        <v>-0.42708333333333337</v>
      </c>
      <c r="I281" s="23" t="str">
        <f t="shared" si="19"/>
        <v>NO OT</v>
      </c>
    </row>
  </sheetData>
  <autoFilter ref="A1:J281"/>
  <mergeCells count="40">
    <mergeCell ref="C275:F275"/>
    <mergeCell ref="C233:F233"/>
    <mergeCell ref="C240:F240"/>
    <mergeCell ref="C247:F247"/>
    <mergeCell ref="C254:F254"/>
    <mergeCell ref="C261:F261"/>
    <mergeCell ref="C268:F268"/>
    <mergeCell ref="C37:F37"/>
    <mergeCell ref="C44:F44"/>
    <mergeCell ref="C51:F51"/>
    <mergeCell ref="C58:F58"/>
    <mergeCell ref="C135:F135"/>
    <mergeCell ref="C65:F65"/>
    <mergeCell ref="C72:F72"/>
    <mergeCell ref="C79:F79"/>
    <mergeCell ref="C86:F86"/>
    <mergeCell ref="C114:F114"/>
    <mergeCell ref="C100:F100"/>
    <mergeCell ref="C107:F107"/>
    <mergeCell ref="C93:F93"/>
    <mergeCell ref="C2:F2"/>
    <mergeCell ref="C9:F9"/>
    <mergeCell ref="C16:F16"/>
    <mergeCell ref="C23:F23"/>
    <mergeCell ref="C30:F30"/>
    <mergeCell ref="C226:F226"/>
    <mergeCell ref="C219:F219"/>
    <mergeCell ref="C205:F205"/>
    <mergeCell ref="C212:F212"/>
    <mergeCell ref="C121:F121"/>
    <mergeCell ref="C128:F128"/>
    <mergeCell ref="C198:F198"/>
    <mergeCell ref="C142:F142"/>
    <mergeCell ref="C149:F149"/>
    <mergeCell ref="C156:F156"/>
    <mergeCell ref="C163:F163"/>
    <mergeCell ref="C170:F170"/>
    <mergeCell ref="C177:F177"/>
    <mergeCell ref="C184:F184"/>
    <mergeCell ref="C191:F191"/>
  </mergeCells>
  <conditionalFormatting sqref="G1">
    <cfRule type="containsText" dxfId="15" priority="1" operator="containsText" text="CHUTTI">
      <formula>NOT(ISERROR(SEARCH("CHUTTI",G1)))</formula>
    </cfRule>
    <cfRule type="containsText" dxfId="14" priority="2" operator="containsText" text="LATE">
      <formula>NOT(ISERROR(SEARCH("LATE",G1)))</formula>
    </cfRule>
    <cfRule type="containsText" dxfId="13" priority="3" operator="containsText" text="ABSENT">
      <formula>NOT(ISERROR(SEARCH("ABSENT",G1)))</formula>
    </cfRule>
    <cfRule type="containsText" dxfId="12" priority="4" operator="containsText" text="OK">
      <formula>NOT(ISERROR(SEARCH("OK",G1)))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311"/>
  <sheetViews>
    <sheetView workbookViewId="0">
      <pane ySplit="1" topLeftCell="A110" activePane="bottomLeft" state="frozen"/>
      <selection pane="bottomLeft" activeCell="M118" sqref="M118"/>
    </sheetView>
  </sheetViews>
  <sheetFormatPr defaultColWidth="9.140625" defaultRowHeight="12.75" x14ac:dyDescent="0.25"/>
  <cols>
    <col min="1" max="1" width="18" style="27" customWidth="1"/>
    <col min="2" max="2" width="9.140625" style="27"/>
    <col min="3" max="3" width="13.42578125" style="27" customWidth="1"/>
    <col min="4" max="16384" width="9.140625" style="27"/>
  </cols>
  <sheetData>
    <row r="1" spans="1:9" ht="45" x14ac:dyDescent="0.25">
      <c r="A1" s="28" t="s">
        <v>48</v>
      </c>
      <c r="B1" s="28" t="s">
        <v>1</v>
      </c>
      <c r="C1" s="28" t="s">
        <v>31</v>
      </c>
      <c r="D1" s="28" t="s">
        <v>454</v>
      </c>
      <c r="E1" s="28" t="s">
        <v>455</v>
      </c>
      <c r="F1" s="20" t="s">
        <v>453</v>
      </c>
      <c r="G1" s="19" t="s">
        <v>4</v>
      </c>
      <c r="H1" s="21" t="s">
        <v>5</v>
      </c>
      <c r="I1" s="22" t="s">
        <v>6</v>
      </c>
    </row>
    <row r="2" spans="1:9" hidden="1" x14ac:dyDescent="0.25">
      <c r="A2" s="28" t="s">
        <v>48</v>
      </c>
      <c r="B2" s="29">
        <v>46082</v>
      </c>
      <c r="C2" s="60" t="s">
        <v>456</v>
      </c>
      <c r="D2" s="61"/>
      <c r="E2" s="61"/>
      <c r="F2" s="61"/>
      <c r="G2" s="61"/>
      <c r="H2" s="61"/>
      <c r="I2" s="62"/>
    </row>
    <row r="3" spans="1:9" hidden="1" x14ac:dyDescent="0.25">
      <c r="A3" s="28" t="s">
        <v>48</v>
      </c>
      <c r="B3" s="29">
        <v>46083</v>
      </c>
      <c r="C3" s="30" t="s">
        <v>457</v>
      </c>
      <c r="D3" s="28" t="s">
        <v>322</v>
      </c>
      <c r="E3" s="28" t="s">
        <v>245</v>
      </c>
      <c r="F3" s="28" t="s">
        <v>359</v>
      </c>
      <c r="G3" s="28" t="str">
        <f>IF(C3="Sunday", "SUNDAY", IF(OR(D3=0, D3="", D3="0:0"), "ABSENT", IF(MOD(D3,1) &gt; TIME(9,45,0), "LATE", "OK")))</f>
        <v>LATE</v>
      </c>
      <c r="H3" s="31">
        <f>IF(OR(D3=0, D3="", E3=0, E3=""), 0, (E3-D3)-TIME(1,0,0))</f>
        <v>0.26527777777777778</v>
      </c>
      <c r="I3" s="27" t="str">
        <f>IF(VALUE(E3) &gt; TIME(19,0,0), TEXT(VALUE(E3) - TIME(19,0,0), "hh:mm"), "NO OT")</f>
        <v>NO OT</v>
      </c>
    </row>
    <row r="4" spans="1:9" hidden="1" x14ac:dyDescent="0.25">
      <c r="A4" s="28" t="s">
        <v>48</v>
      </c>
      <c r="B4" s="29">
        <v>46084</v>
      </c>
      <c r="C4" s="30" t="s">
        <v>458</v>
      </c>
      <c r="D4" s="28" t="s">
        <v>255</v>
      </c>
      <c r="E4" s="28" t="s">
        <v>387</v>
      </c>
      <c r="F4" s="28" t="s">
        <v>228</v>
      </c>
      <c r="G4" s="28" t="str">
        <f t="shared" ref="G4:G7" si="0">IF(C4="Sunday", "SUNDAY", IF(OR(D4=0, D4="", D4="0:0"), "ABSENT", IF(MOD(D4,1) &gt; TIME(9,45,0), "LATE", "OK")))</f>
        <v>OK</v>
      </c>
      <c r="H4" s="31">
        <f t="shared" ref="H4:H66" si="1">IF(OR(D4=0, D4="", E4=0, E4=""), 0, (E4-D4)-TIME(1,0,0))</f>
        <v>0.28402777777777771</v>
      </c>
      <c r="I4" s="27" t="str">
        <f t="shared" ref="I4:I7" si="2">IF(VALUE(E4) &gt; TIME(19,0,0), TEXT(VALUE(E4) - TIME(19,0,0), "hh:mm"), "NO OT")</f>
        <v>NO OT</v>
      </c>
    </row>
    <row r="5" spans="1:9" hidden="1" x14ac:dyDescent="0.25">
      <c r="A5" s="28" t="s">
        <v>48</v>
      </c>
      <c r="B5" s="29">
        <v>46085</v>
      </c>
      <c r="C5" s="30" t="s">
        <v>459</v>
      </c>
      <c r="D5" s="28" t="s">
        <v>12</v>
      </c>
      <c r="E5" s="28" t="s">
        <v>12</v>
      </c>
      <c r="F5" s="28" t="s">
        <v>12</v>
      </c>
      <c r="G5" s="60" t="s">
        <v>594</v>
      </c>
      <c r="H5" s="61"/>
      <c r="I5" s="62"/>
    </row>
    <row r="6" spans="1:9" hidden="1" x14ac:dyDescent="0.25">
      <c r="A6" s="28" t="s">
        <v>48</v>
      </c>
      <c r="B6" s="29">
        <v>46086</v>
      </c>
      <c r="C6" s="30" t="s">
        <v>460</v>
      </c>
      <c r="D6" s="28" t="s">
        <v>229</v>
      </c>
      <c r="E6" s="28" t="s">
        <v>379</v>
      </c>
      <c r="F6" s="28" t="s">
        <v>391</v>
      </c>
      <c r="G6" s="28" t="str">
        <f t="shared" si="0"/>
        <v>LATE</v>
      </c>
      <c r="H6" s="31">
        <f t="shared" si="1"/>
        <v>0.28680555555555559</v>
      </c>
      <c r="I6" s="27" t="str">
        <f t="shared" si="2"/>
        <v>NO OT</v>
      </c>
    </row>
    <row r="7" spans="1:9" hidden="1" x14ac:dyDescent="0.25">
      <c r="A7" s="28" t="s">
        <v>48</v>
      </c>
      <c r="B7" s="29">
        <v>46087</v>
      </c>
      <c r="C7" s="30" t="s">
        <v>461</v>
      </c>
      <c r="D7" s="28" t="s">
        <v>255</v>
      </c>
      <c r="E7" s="28" t="s">
        <v>462</v>
      </c>
      <c r="F7" s="28" t="s">
        <v>428</v>
      </c>
      <c r="G7" s="28" t="str">
        <f t="shared" si="0"/>
        <v>OK</v>
      </c>
      <c r="H7" s="31">
        <f t="shared" si="1"/>
        <v>0.28194444444444439</v>
      </c>
      <c r="I7" s="27" t="str">
        <f t="shared" si="2"/>
        <v>NO OT</v>
      </c>
    </row>
    <row r="8" spans="1:9" hidden="1" x14ac:dyDescent="0.25">
      <c r="A8" s="28" t="s">
        <v>48</v>
      </c>
      <c r="B8" s="29">
        <v>46088</v>
      </c>
      <c r="C8" s="30" t="s">
        <v>463</v>
      </c>
      <c r="D8" s="28" t="s">
        <v>12</v>
      </c>
      <c r="E8" s="28" t="s">
        <v>12</v>
      </c>
      <c r="F8" s="28" t="s">
        <v>12</v>
      </c>
      <c r="G8" s="60" t="str">
        <f t="shared" ref="G8" si="3">IF(C8="Sunday", "SUNDAY", IF(OR(D8=0, D8="", D8="0:0"), "ABSENT", IF(MOD(D8,1) &gt; TIME(9,45,0), "LATE", "OK")))</f>
        <v>ABSENT</v>
      </c>
      <c r="H8" s="61"/>
      <c r="I8" s="62"/>
    </row>
    <row r="9" spans="1:9" hidden="1" x14ac:dyDescent="0.25">
      <c r="A9" s="28" t="s">
        <v>48</v>
      </c>
      <c r="B9" s="29">
        <v>46089</v>
      </c>
      <c r="C9" s="60" t="s">
        <v>456</v>
      </c>
      <c r="D9" s="61"/>
      <c r="E9" s="61"/>
      <c r="F9" s="61"/>
      <c r="G9" s="61"/>
      <c r="H9" s="61"/>
      <c r="I9" s="62"/>
    </row>
    <row r="10" spans="1:9" hidden="1" x14ac:dyDescent="0.25">
      <c r="A10" s="28" t="s">
        <v>48</v>
      </c>
      <c r="B10" s="29">
        <v>46090</v>
      </c>
      <c r="C10" s="30" t="s">
        <v>457</v>
      </c>
      <c r="D10" s="28" t="s">
        <v>253</v>
      </c>
      <c r="E10" s="28" t="s">
        <v>464</v>
      </c>
      <c r="F10" s="28" t="s">
        <v>427</v>
      </c>
      <c r="G10" s="28" t="str">
        <f t="shared" ref="G10:G15" si="4">IF(C10="Sunday", "SUNDAY", IF(OR(D10=0, D10="", D10="0:0"), "ABSENT", IF(MOD(D10,1) &gt; TIME(9,45,0), "LATE", "OK")))</f>
        <v>LATE</v>
      </c>
      <c r="H10" s="31">
        <f t="shared" si="1"/>
        <v>0.2805555555555555</v>
      </c>
      <c r="I10" s="27" t="str">
        <f t="shared" ref="I10:I15" si="5">IF(VALUE(E10) &gt; TIME(19,0,0), TEXT(VALUE(E10) - TIME(19,0,0), "hh:mm"), "NO OT")</f>
        <v>NO OT</v>
      </c>
    </row>
    <row r="11" spans="1:9" hidden="1" x14ac:dyDescent="0.25">
      <c r="A11" s="28" t="s">
        <v>48</v>
      </c>
      <c r="B11" s="29">
        <v>46091</v>
      </c>
      <c r="C11" s="30" t="s">
        <v>458</v>
      </c>
      <c r="D11" s="28" t="s">
        <v>253</v>
      </c>
      <c r="E11" s="28" t="s">
        <v>377</v>
      </c>
      <c r="F11" s="28" t="s">
        <v>395</v>
      </c>
      <c r="G11" s="28" t="str">
        <f t="shared" si="4"/>
        <v>LATE</v>
      </c>
      <c r="H11" s="31">
        <f t="shared" si="1"/>
        <v>0.28125000000000006</v>
      </c>
      <c r="I11" s="27" t="str">
        <f t="shared" si="5"/>
        <v>NO OT</v>
      </c>
    </row>
    <row r="12" spans="1:9" hidden="1" x14ac:dyDescent="0.25">
      <c r="A12" s="28" t="s">
        <v>48</v>
      </c>
      <c r="B12" s="29">
        <v>46092</v>
      </c>
      <c r="C12" s="30" t="s">
        <v>459</v>
      </c>
      <c r="D12" s="28" t="s">
        <v>216</v>
      </c>
      <c r="E12" s="28" t="s">
        <v>230</v>
      </c>
      <c r="F12" s="28" t="s">
        <v>465</v>
      </c>
      <c r="G12" s="28" t="str">
        <f t="shared" si="4"/>
        <v>LATE</v>
      </c>
      <c r="H12" s="31">
        <f t="shared" si="1"/>
        <v>0.27916666666666662</v>
      </c>
      <c r="I12" s="27" t="str">
        <f t="shared" si="5"/>
        <v>NO OT</v>
      </c>
    </row>
    <row r="13" spans="1:9" hidden="1" x14ac:dyDescent="0.25">
      <c r="A13" s="28" t="s">
        <v>48</v>
      </c>
      <c r="B13" s="29">
        <v>46093</v>
      </c>
      <c r="C13" s="30" t="s">
        <v>460</v>
      </c>
      <c r="D13" s="28" t="s">
        <v>253</v>
      </c>
      <c r="E13" s="28" t="s">
        <v>466</v>
      </c>
      <c r="F13" s="28" t="s">
        <v>467</v>
      </c>
      <c r="G13" s="28" t="str">
        <f t="shared" si="4"/>
        <v>LATE</v>
      </c>
      <c r="H13" s="31">
        <f t="shared" si="1"/>
        <v>0.27430555555555552</v>
      </c>
      <c r="I13" s="27" t="str">
        <f t="shared" si="5"/>
        <v>NO OT</v>
      </c>
    </row>
    <row r="14" spans="1:9" hidden="1" x14ac:dyDescent="0.25">
      <c r="A14" s="28" t="s">
        <v>48</v>
      </c>
      <c r="B14" s="29">
        <v>46094</v>
      </c>
      <c r="C14" s="30" t="s">
        <v>461</v>
      </c>
      <c r="D14" s="28" t="s">
        <v>322</v>
      </c>
      <c r="E14" s="28" t="s">
        <v>468</v>
      </c>
      <c r="F14" s="28" t="s">
        <v>469</v>
      </c>
      <c r="G14" s="28" t="str">
        <f t="shared" si="4"/>
        <v>LATE</v>
      </c>
      <c r="H14" s="31">
        <f t="shared" si="1"/>
        <v>0.28263888888888894</v>
      </c>
      <c r="I14" s="27" t="str">
        <f t="shared" si="5"/>
        <v>NO OT</v>
      </c>
    </row>
    <row r="15" spans="1:9" hidden="1" x14ac:dyDescent="0.25">
      <c r="A15" s="28" t="s">
        <v>48</v>
      </c>
      <c r="B15" s="29">
        <v>46095</v>
      </c>
      <c r="C15" s="30" t="s">
        <v>463</v>
      </c>
      <c r="D15" s="28" t="s">
        <v>325</v>
      </c>
      <c r="E15" s="28" t="s">
        <v>462</v>
      </c>
      <c r="F15" s="28" t="s">
        <v>470</v>
      </c>
      <c r="G15" s="28" t="str">
        <f t="shared" si="4"/>
        <v>LATE</v>
      </c>
      <c r="H15" s="31">
        <f t="shared" si="1"/>
        <v>0.27569444444444441</v>
      </c>
      <c r="I15" s="27" t="str">
        <f t="shared" si="5"/>
        <v>NO OT</v>
      </c>
    </row>
    <row r="16" spans="1:9" hidden="1" x14ac:dyDescent="0.25">
      <c r="A16" s="28" t="s">
        <v>48</v>
      </c>
      <c r="B16" s="29">
        <v>46096</v>
      </c>
      <c r="C16" s="60" t="s">
        <v>456</v>
      </c>
      <c r="D16" s="61"/>
      <c r="E16" s="61"/>
      <c r="F16" s="61"/>
      <c r="G16" s="61"/>
      <c r="H16" s="61"/>
      <c r="I16" s="62"/>
    </row>
    <row r="17" spans="1:9" hidden="1" x14ac:dyDescent="0.25">
      <c r="A17" s="28" t="s">
        <v>48</v>
      </c>
      <c r="B17" s="29">
        <v>46097</v>
      </c>
      <c r="C17" s="30" t="s">
        <v>457</v>
      </c>
      <c r="D17" s="28" t="s">
        <v>330</v>
      </c>
      <c r="E17" s="28" t="s">
        <v>440</v>
      </c>
      <c r="F17" s="28" t="s">
        <v>467</v>
      </c>
      <c r="G17" s="28" t="str">
        <f t="shared" ref="G17:G21" si="6">IF(C17="Sunday", "SUNDAY", IF(OR(D17=0, D17="", D17="0:0"), "ABSENT", IF(MOD(D17,1) &gt; TIME(9,45,0), "LATE", "OK")))</f>
        <v>LATE</v>
      </c>
      <c r="H17" s="31">
        <f t="shared" si="1"/>
        <v>0.27430555555555547</v>
      </c>
      <c r="I17" s="27" t="str">
        <f t="shared" ref="I17:I21" si="7">IF(VALUE(E17) &gt; TIME(19,0,0), TEXT(VALUE(E17) - TIME(19,0,0), "hh:mm"), "NO OT")</f>
        <v>NO OT</v>
      </c>
    </row>
    <row r="18" spans="1:9" hidden="1" x14ac:dyDescent="0.25">
      <c r="A18" s="28" t="s">
        <v>48</v>
      </c>
      <c r="B18" s="29">
        <v>46098</v>
      </c>
      <c r="C18" s="30" t="s">
        <v>458</v>
      </c>
      <c r="D18" s="28" t="s">
        <v>253</v>
      </c>
      <c r="E18" s="28" t="s">
        <v>328</v>
      </c>
      <c r="F18" s="28" t="s">
        <v>287</v>
      </c>
      <c r="G18" s="28" t="str">
        <f t="shared" si="6"/>
        <v>LATE</v>
      </c>
      <c r="H18" s="31">
        <f t="shared" si="1"/>
        <v>0.25763888888888892</v>
      </c>
      <c r="I18" s="27" t="str">
        <f t="shared" si="7"/>
        <v>NO OT</v>
      </c>
    </row>
    <row r="19" spans="1:9" hidden="1" x14ac:dyDescent="0.25">
      <c r="A19" s="28" t="s">
        <v>48</v>
      </c>
      <c r="B19" s="29">
        <v>46099</v>
      </c>
      <c r="C19" s="30" t="s">
        <v>459</v>
      </c>
      <c r="D19" s="28" t="s">
        <v>253</v>
      </c>
      <c r="E19" s="28" t="s">
        <v>466</v>
      </c>
      <c r="F19" s="28" t="s">
        <v>467</v>
      </c>
      <c r="G19" s="28" t="str">
        <f t="shared" si="6"/>
        <v>LATE</v>
      </c>
      <c r="H19" s="31">
        <f t="shared" si="1"/>
        <v>0.27430555555555552</v>
      </c>
      <c r="I19" s="27" t="str">
        <f t="shared" si="7"/>
        <v>NO OT</v>
      </c>
    </row>
    <row r="20" spans="1:9" hidden="1" x14ac:dyDescent="0.25">
      <c r="A20" s="28" t="s">
        <v>48</v>
      </c>
      <c r="B20" s="29">
        <v>46100</v>
      </c>
      <c r="C20" s="30" t="s">
        <v>460</v>
      </c>
      <c r="D20" s="28" t="s">
        <v>224</v>
      </c>
      <c r="E20" s="28" t="s">
        <v>230</v>
      </c>
      <c r="F20" s="28" t="s">
        <v>395</v>
      </c>
      <c r="G20" s="28" t="str">
        <f t="shared" si="6"/>
        <v>LATE</v>
      </c>
      <c r="H20" s="31">
        <f t="shared" si="1"/>
        <v>0.28124999999999994</v>
      </c>
      <c r="I20" s="27" t="str">
        <f t="shared" si="7"/>
        <v>NO OT</v>
      </c>
    </row>
    <row r="21" spans="1:9" hidden="1" x14ac:dyDescent="0.25">
      <c r="A21" s="28" t="s">
        <v>48</v>
      </c>
      <c r="B21" s="29">
        <v>46101</v>
      </c>
      <c r="C21" s="30" t="s">
        <v>461</v>
      </c>
      <c r="D21" s="28" t="s">
        <v>199</v>
      </c>
      <c r="E21" s="28" t="s">
        <v>471</v>
      </c>
      <c r="F21" s="28" t="s">
        <v>359</v>
      </c>
      <c r="G21" s="28" t="str">
        <f t="shared" si="6"/>
        <v>LATE</v>
      </c>
      <c r="H21" s="31">
        <f t="shared" si="1"/>
        <v>0.26527777777777778</v>
      </c>
      <c r="I21" s="27" t="str">
        <f t="shared" si="7"/>
        <v>NO OT</v>
      </c>
    </row>
    <row r="22" spans="1:9" hidden="1" x14ac:dyDescent="0.25">
      <c r="A22" s="28" t="s">
        <v>48</v>
      </c>
      <c r="B22" s="29">
        <v>46102</v>
      </c>
      <c r="C22" s="30" t="s">
        <v>463</v>
      </c>
      <c r="D22" s="28" t="s">
        <v>12</v>
      </c>
      <c r="E22" s="28" t="s">
        <v>12</v>
      </c>
      <c r="F22" s="28" t="s">
        <v>12</v>
      </c>
      <c r="G22" s="60" t="s">
        <v>592</v>
      </c>
      <c r="H22" s="61"/>
      <c r="I22" s="62"/>
    </row>
    <row r="23" spans="1:9" hidden="1" x14ac:dyDescent="0.25">
      <c r="A23" s="28" t="s">
        <v>48</v>
      </c>
      <c r="B23" s="29">
        <v>46103</v>
      </c>
      <c r="C23" s="60" t="s">
        <v>456</v>
      </c>
      <c r="D23" s="61"/>
      <c r="E23" s="61"/>
      <c r="F23" s="61"/>
      <c r="G23" s="61"/>
      <c r="H23" s="61"/>
      <c r="I23" s="62"/>
    </row>
    <row r="24" spans="1:9" hidden="1" x14ac:dyDescent="0.25">
      <c r="A24" s="28" t="s">
        <v>48</v>
      </c>
      <c r="B24" s="29">
        <v>46104</v>
      </c>
      <c r="C24" s="30" t="s">
        <v>457</v>
      </c>
      <c r="D24" s="28" t="s">
        <v>12</v>
      </c>
      <c r="E24" s="28" t="s">
        <v>12</v>
      </c>
      <c r="F24" s="28" t="s">
        <v>12</v>
      </c>
      <c r="G24" s="60" t="s">
        <v>592</v>
      </c>
      <c r="H24" s="61"/>
      <c r="I24" s="62"/>
    </row>
    <row r="25" spans="1:9" hidden="1" x14ac:dyDescent="0.25">
      <c r="A25" s="28" t="s">
        <v>48</v>
      </c>
      <c r="B25" s="29">
        <v>46105</v>
      </c>
      <c r="C25" s="30" t="s">
        <v>458</v>
      </c>
      <c r="D25" s="28" t="s">
        <v>12</v>
      </c>
      <c r="E25" s="28" t="s">
        <v>12</v>
      </c>
      <c r="F25" s="28" t="s">
        <v>12</v>
      </c>
      <c r="G25" s="60" t="str">
        <f t="shared" ref="G25" si="8">IF(C25="Sunday", "SUNDAY", IF(OR(D25=0, D25="", D25="0:0"), "ABSENT", IF(MOD(D25,1) &gt; TIME(9,45,0), "LATE", "OK")))</f>
        <v>ABSENT</v>
      </c>
      <c r="H25" s="61"/>
      <c r="I25" s="62"/>
    </row>
    <row r="26" spans="1:9" hidden="1" x14ac:dyDescent="0.25">
      <c r="A26" s="28" t="s">
        <v>48</v>
      </c>
      <c r="B26" s="29">
        <v>46106</v>
      </c>
      <c r="C26" s="30" t="s">
        <v>459</v>
      </c>
      <c r="D26" s="28" t="s">
        <v>256</v>
      </c>
      <c r="E26" s="28" t="s">
        <v>259</v>
      </c>
      <c r="F26" s="28" t="s">
        <v>221</v>
      </c>
      <c r="G26" s="28" t="str">
        <f t="shared" ref="G26:G29" si="9">IF(C26="Sunday", "SUNDAY", IF(OR(D26=0, D26="", D26="0:0"), "ABSENT", IF(MOD(D26,1) &gt; TIME(9,45,0), "LATE", "OK")))</f>
        <v>OK</v>
      </c>
      <c r="H26" s="31">
        <f t="shared" si="1"/>
        <v>0.33333333333333337</v>
      </c>
      <c r="I26" s="27" t="str">
        <f t="shared" ref="I26:I29" si="10">IF(VALUE(E26) &gt; TIME(19,0,0), TEXT(VALUE(E26) - TIME(19,0,0), "hh:mm"), "NO OT")</f>
        <v>NO OT</v>
      </c>
    </row>
    <row r="27" spans="1:9" hidden="1" x14ac:dyDescent="0.25">
      <c r="A27" s="28" t="s">
        <v>48</v>
      </c>
      <c r="B27" s="29">
        <v>46107</v>
      </c>
      <c r="C27" s="30" t="s">
        <v>460</v>
      </c>
      <c r="D27" s="28" t="s">
        <v>219</v>
      </c>
      <c r="E27" s="28" t="s">
        <v>292</v>
      </c>
      <c r="F27" s="28" t="s">
        <v>367</v>
      </c>
      <c r="G27" s="28" t="str">
        <f t="shared" si="9"/>
        <v>OK</v>
      </c>
      <c r="H27" s="31">
        <f t="shared" si="1"/>
        <v>0.32569444444444445</v>
      </c>
      <c r="I27" s="27" t="str">
        <f t="shared" si="10"/>
        <v>NO OT</v>
      </c>
    </row>
    <row r="28" spans="1:9" hidden="1" x14ac:dyDescent="0.25">
      <c r="A28" s="28" t="s">
        <v>48</v>
      </c>
      <c r="B28" s="29">
        <v>46108</v>
      </c>
      <c r="C28" s="30" t="s">
        <v>461</v>
      </c>
      <c r="D28" s="28" t="s">
        <v>315</v>
      </c>
      <c r="E28" s="28" t="s">
        <v>190</v>
      </c>
      <c r="F28" s="28" t="s">
        <v>372</v>
      </c>
      <c r="G28" s="28" t="str">
        <f t="shared" si="9"/>
        <v>OK</v>
      </c>
      <c r="H28" s="31">
        <f t="shared" si="1"/>
        <v>0.32708333333333334</v>
      </c>
      <c r="I28" s="27" t="str">
        <f t="shared" si="10"/>
        <v>NO OT</v>
      </c>
    </row>
    <row r="29" spans="1:9" hidden="1" x14ac:dyDescent="0.25">
      <c r="A29" s="28" t="s">
        <v>48</v>
      </c>
      <c r="B29" s="29">
        <v>46109</v>
      </c>
      <c r="C29" s="30" t="s">
        <v>463</v>
      </c>
      <c r="D29" s="28" t="s">
        <v>258</v>
      </c>
      <c r="E29" s="28" t="s">
        <v>303</v>
      </c>
      <c r="F29" s="28" t="s">
        <v>213</v>
      </c>
      <c r="G29" s="28" t="str">
        <f t="shared" si="9"/>
        <v>OK</v>
      </c>
      <c r="H29" s="31">
        <f t="shared" si="1"/>
        <v>0.33125000000000004</v>
      </c>
      <c r="I29" s="27" t="str">
        <f t="shared" si="10"/>
        <v>NO OT</v>
      </c>
    </row>
    <row r="30" spans="1:9" hidden="1" x14ac:dyDescent="0.25">
      <c r="A30" s="28" t="s">
        <v>48</v>
      </c>
      <c r="B30" s="29">
        <v>46110</v>
      </c>
      <c r="C30" s="60" t="s">
        <v>456</v>
      </c>
      <c r="D30" s="61"/>
      <c r="E30" s="61"/>
      <c r="F30" s="61"/>
      <c r="G30" s="61"/>
      <c r="H30" s="61"/>
      <c r="I30" s="62"/>
    </row>
    <row r="31" spans="1:9" hidden="1" x14ac:dyDescent="0.25">
      <c r="A31" s="28" t="s">
        <v>48</v>
      </c>
      <c r="B31" s="29">
        <v>46111</v>
      </c>
      <c r="C31" s="30" t="s">
        <v>457</v>
      </c>
      <c r="D31" s="28" t="s">
        <v>269</v>
      </c>
      <c r="E31" s="28" t="s">
        <v>472</v>
      </c>
      <c r="F31" s="28" t="s">
        <v>473</v>
      </c>
      <c r="G31" s="28" t="str">
        <f t="shared" ref="G31:G32" si="11">IF(C31="Sunday", "SUNDAY", IF(OR(D31=0, D31="", D31="0:0"), "ABSENT", IF(MOD(D31,1) &gt; TIME(9,45,0), "LATE", "OK")))</f>
        <v>OK</v>
      </c>
      <c r="H31" s="31">
        <f t="shared" si="1"/>
        <v>0.18611111111111109</v>
      </c>
      <c r="I31" s="27" t="str">
        <f t="shared" ref="I31:I32" si="12">IF(VALUE(E31) &gt; TIME(19,0,0), TEXT(VALUE(E31) - TIME(19,0,0), "hh:mm"), "NO OT")</f>
        <v>NO OT</v>
      </c>
    </row>
    <row r="32" spans="1:9" hidden="1" x14ac:dyDescent="0.25">
      <c r="A32" s="28" t="s">
        <v>48</v>
      </c>
      <c r="B32" s="29">
        <v>46112</v>
      </c>
      <c r="C32" s="30" t="s">
        <v>458</v>
      </c>
      <c r="D32" s="28" t="s">
        <v>183</v>
      </c>
      <c r="E32" s="28" t="s">
        <v>389</v>
      </c>
      <c r="F32" s="28" t="s">
        <v>386</v>
      </c>
      <c r="G32" s="28" t="str">
        <f t="shared" si="11"/>
        <v>LATE</v>
      </c>
      <c r="H32" s="31">
        <f t="shared" si="1"/>
        <v>0.30625000000000002</v>
      </c>
      <c r="I32" s="27" t="str">
        <f t="shared" si="12"/>
        <v>NO OT</v>
      </c>
    </row>
    <row r="33" spans="1:9" hidden="1" x14ac:dyDescent="0.25">
      <c r="A33" s="28" t="s">
        <v>49</v>
      </c>
      <c r="B33" s="29">
        <v>46082</v>
      </c>
      <c r="C33" s="60" t="s">
        <v>456</v>
      </c>
      <c r="D33" s="61"/>
      <c r="E33" s="61"/>
      <c r="F33" s="61"/>
      <c r="G33" s="61"/>
      <c r="H33" s="61"/>
      <c r="I33" s="62"/>
    </row>
    <row r="34" spans="1:9" hidden="1" x14ac:dyDescent="0.25">
      <c r="A34" s="28" t="s">
        <v>49</v>
      </c>
      <c r="B34" s="29">
        <v>46083</v>
      </c>
      <c r="C34" s="30" t="s">
        <v>457</v>
      </c>
      <c r="D34" s="28" t="s">
        <v>474</v>
      </c>
      <c r="E34" s="28" t="s">
        <v>286</v>
      </c>
      <c r="F34" s="28" t="s">
        <v>475</v>
      </c>
      <c r="G34" s="28" t="str">
        <f t="shared" ref="G34:G39" si="13">IF(C34="Sunday", "SUNDAY", IF(OR(D34=0, D34="", D34="0:0"), "ABSENT", IF(MOD(D34,1) &gt; TIME(9,45,0), "LATE", "OK")))</f>
        <v>OK</v>
      </c>
      <c r="H34" s="31">
        <f t="shared" si="1"/>
        <v>0.27777777777777779</v>
      </c>
      <c r="I34" s="27" t="str">
        <f t="shared" ref="I34:I39" si="14">IF(VALUE(E34) &gt; TIME(19,0,0), TEXT(VALUE(E34) - TIME(19,0,0), "hh:mm"), "NO OT")</f>
        <v>NO OT</v>
      </c>
    </row>
    <row r="35" spans="1:9" hidden="1" x14ac:dyDescent="0.25">
      <c r="A35" s="28" t="s">
        <v>49</v>
      </c>
      <c r="B35" s="29">
        <v>46084</v>
      </c>
      <c r="C35" s="30" t="s">
        <v>458</v>
      </c>
      <c r="D35" s="28" t="s">
        <v>12</v>
      </c>
      <c r="E35" s="28" t="s">
        <v>12</v>
      </c>
      <c r="F35" s="28" t="s">
        <v>12</v>
      </c>
      <c r="G35" s="60" t="str">
        <f t="shared" si="13"/>
        <v>ABSENT</v>
      </c>
      <c r="H35" s="61"/>
      <c r="I35" s="62"/>
    </row>
    <row r="36" spans="1:9" hidden="1" x14ac:dyDescent="0.25">
      <c r="A36" s="28" t="s">
        <v>49</v>
      </c>
      <c r="B36" s="29">
        <v>46085</v>
      </c>
      <c r="C36" s="30" t="s">
        <v>459</v>
      </c>
      <c r="D36" s="28" t="s">
        <v>12</v>
      </c>
      <c r="E36" s="28" t="s">
        <v>12</v>
      </c>
      <c r="F36" s="28" t="s">
        <v>12</v>
      </c>
      <c r="G36" s="60" t="s">
        <v>594</v>
      </c>
      <c r="H36" s="61"/>
      <c r="I36" s="62"/>
    </row>
    <row r="37" spans="1:9" hidden="1" x14ac:dyDescent="0.25">
      <c r="A37" s="28" t="s">
        <v>49</v>
      </c>
      <c r="B37" s="29">
        <v>46086</v>
      </c>
      <c r="C37" s="30" t="s">
        <v>460</v>
      </c>
      <c r="D37" s="28" t="s">
        <v>12</v>
      </c>
      <c r="E37" s="28" t="s">
        <v>12</v>
      </c>
      <c r="F37" s="28" t="s">
        <v>12</v>
      </c>
      <c r="G37" s="60" t="str">
        <f t="shared" si="13"/>
        <v>ABSENT</v>
      </c>
      <c r="H37" s="61"/>
      <c r="I37" s="62"/>
    </row>
    <row r="38" spans="1:9" hidden="1" x14ac:dyDescent="0.25">
      <c r="A38" s="28" t="s">
        <v>49</v>
      </c>
      <c r="B38" s="29">
        <v>46087</v>
      </c>
      <c r="C38" s="30" t="s">
        <v>461</v>
      </c>
      <c r="D38" s="28" t="s">
        <v>183</v>
      </c>
      <c r="E38" s="28" t="s">
        <v>476</v>
      </c>
      <c r="F38" s="28" t="s">
        <v>477</v>
      </c>
      <c r="G38" s="28" t="str">
        <f t="shared" si="13"/>
        <v>LATE</v>
      </c>
      <c r="H38" s="31">
        <f t="shared" si="1"/>
        <v>0.25277777777777777</v>
      </c>
      <c r="I38" s="27" t="str">
        <f t="shared" si="14"/>
        <v>NO OT</v>
      </c>
    </row>
    <row r="39" spans="1:9" hidden="1" x14ac:dyDescent="0.25">
      <c r="A39" s="28" t="s">
        <v>49</v>
      </c>
      <c r="B39" s="29">
        <v>46088</v>
      </c>
      <c r="C39" s="30" t="s">
        <v>463</v>
      </c>
      <c r="D39" s="28" t="s">
        <v>186</v>
      </c>
      <c r="E39" s="28" t="s">
        <v>478</v>
      </c>
      <c r="F39" s="28" t="s">
        <v>479</v>
      </c>
      <c r="G39" s="28" t="str">
        <f t="shared" si="13"/>
        <v>LATE</v>
      </c>
      <c r="H39" s="31">
        <f t="shared" si="1"/>
        <v>0.2479166666666667</v>
      </c>
      <c r="I39" s="27" t="str">
        <f t="shared" si="14"/>
        <v>NO OT</v>
      </c>
    </row>
    <row r="40" spans="1:9" hidden="1" x14ac:dyDescent="0.25">
      <c r="A40" s="28" t="s">
        <v>49</v>
      </c>
      <c r="B40" s="29">
        <v>46089</v>
      </c>
      <c r="C40" s="60" t="s">
        <v>456</v>
      </c>
      <c r="D40" s="61"/>
      <c r="E40" s="61"/>
      <c r="F40" s="61"/>
      <c r="G40" s="61"/>
      <c r="H40" s="61"/>
      <c r="I40" s="62"/>
    </row>
    <row r="41" spans="1:9" hidden="1" x14ac:dyDescent="0.25">
      <c r="A41" s="28" t="s">
        <v>49</v>
      </c>
      <c r="B41" s="29">
        <v>46090</v>
      </c>
      <c r="C41" s="30" t="s">
        <v>457</v>
      </c>
      <c r="D41" s="28" t="s">
        <v>100</v>
      </c>
      <c r="E41" s="28" t="s">
        <v>480</v>
      </c>
      <c r="F41" s="28" t="s">
        <v>481</v>
      </c>
      <c r="G41" s="28" t="str">
        <f t="shared" ref="G41:G46" si="15">IF(C41="Sunday", "SUNDAY", IF(OR(D41=0, D41="", D41="0:0"), "ABSENT", IF(MOD(D41,1) &gt; TIME(9,45,0), "LATE", "OK")))</f>
        <v>LATE</v>
      </c>
      <c r="H41" s="31">
        <f t="shared" si="1"/>
        <v>0.26180555555555551</v>
      </c>
      <c r="I41" s="27" t="str">
        <f t="shared" ref="I41:I46" si="16">IF(VALUE(E41) &gt; TIME(19,0,0), TEXT(VALUE(E41) - TIME(19,0,0), "hh:mm"), "NO OT")</f>
        <v>NO OT</v>
      </c>
    </row>
    <row r="42" spans="1:9" hidden="1" x14ac:dyDescent="0.25">
      <c r="A42" s="28" t="s">
        <v>49</v>
      </c>
      <c r="B42" s="29">
        <v>46091</v>
      </c>
      <c r="C42" s="30" t="s">
        <v>458</v>
      </c>
      <c r="D42" s="28" t="s">
        <v>12</v>
      </c>
      <c r="E42" s="28" t="s">
        <v>12</v>
      </c>
      <c r="F42" s="28" t="s">
        <v>12</v>
      </c>
      <c r="G42" s="60" t="str">
        <f t="shared" si="15"/>
        <v>ABSENT</v>
      </c>
      <c r="H42" s="61"/>
      <c r="I42" s="62"/>
    </row>
    <row r="43" spans="1:9" hidden="1" x14ac:dyDescent="0.25">
      <c r="A43" s="28" t="s">
        <v>49</v>
      </c>
      <c r="B43" s="29">
        <v>46092</v>
      </c>
      <c r="C43" s="30" t="s">
        <v>459</v>
      </c>
      <c r="D43" s="28" t="s">
        <v>205</v>
      </c>
      <c r="E43" s="28" t="s">
        <v>482</v>
      </c>
      <c r="F43" s="28" t="s">
        <v>390</v>
      </c>
      <c r="G43" s="28" t="str">
        <f t="shared" si="15"/>
        <v>OK</v>
      </c>
      <c r="H43" s="31">
        <f t="shared" si="1"/>
        <v>0.28541666666666665</v>
      </c>
      <c r="I43" s="27" t="str">
        <f t="shared" si="16"/>
        <v>NO OT</v>
      </c>
    </row>
    <row r="44" spans="1:9" hidden="1" x14ac:dyDescent="0.25">
      <c r="A44" s="28" t="s">
        <v>49</v>
      </c>
      <c r="B44" s="29">
        <v>46093</v>
      </c>
      <c r="C44" s="30" t="s">
        <v>460</v>
      </c>
      <c r="D44" s="28" t="s">
        <v>403</v>
      </c>
      <c r="E44" s="28" t="s">
        <v>483</v>
      </c>
      <c r="F44" s="28" t="s">
        <v>233</v>
      </c>
      <c r="G44" s="28" t="str">
        <f t="shared" si="15"/>
        <v>OK</v>
      </c>
      <c r="H44" s="31">
        <f t="shared" si="1"/>
        <v>0.28749999999999998</v>
      </c>
      <c r="I44" s="27" t="str">
        <f t="shared" si="16"/>
        <v>NO OT</v>
      </c>
    </row>
    <row r="45" spans="1:9" hidden="1" x14ac:dyDescent="0.25">
      <c r="A45" s="28" t="s">
        <v>49</v>
      </c>
      <c r="B45" s="29">
        <v>46094</v>
      </c>
      <c r="C45" s="30" t="s">
        <v>461</v>
      </c>
      <c r="D45" s="28" t="s">
        <v>279</v>
      </c>
      <c r="E45" s="28" t="s">
        <v>484</v>
      </c>
      <c r="F45" s="28" t="s">
        <v>380</v>
      </c>
      <c r="G45" s="28" t="str">
        <f t="shared" si="15"/>
        <v>OK</v>
      </c>
      <c r="H45" s="31">
        <f t="shared" si="1"/>
        <v>0.28819444444444442</v>
      </c>
      <c r="I45" s="27" t="str">
        <f t="shared" si="16"/>
        <v>NO OT</v>
      </c>
    </row>
    <row r="46" spans="1:9" hidden="1" x14ac:dyDescent="0.25">
      <c r="A46" s="28" t="s">
        <v>49</v>
      </c>
      <c r="B46" s="29">
        <v>46095</v>
      </c>
      <c r="C46" s="30" t="s">
        <v>463</v>
      </c>
      <c r="D46" s="28" t="s">
        <v>474</v>
      </c>
      <c r="E46" s="28" t="s">
        <v>485</v>
      </c>
      <c r="F46" s="28" t="s">
        <v>378</v>
      </c>
      <c r="G46" s="28" t="str">
        <f t="shared" si="15"/>
        <v>OK</v>
      </c>
      <c r="H46" s="31">
        <f t="shared" si="1"/>
        <v>0.28333333333333333</v>
      </c>
      <c r="I46" s="27" t="str">
        <f t="shared" si="16"/>
        <v>NO OT</v>
      </c>
    </row>
    <row r="47" spans="1:9" hidden="1" x14ac:dyDescent="0.25">
      <c r="A47" s="28" t="s">
        <v>49</v>
      </c>
      <c r="B47" s="29">
        <v>46096</v>
      </c>
      <c r="C47" s="60" t="s">
        <v>456</v>
      </c>
      <c r="D47" s="61"/>
      <c r="E47" s="61"/>
      <c r="F47" s="61"/>
      <c r="G47" s="61"/>
      <c r="H47" s="61"/>
      <c r="I47" s="62"/>
    </row>
    <row r="48" spans="1:9" hidden="1" x14ac:dyDescent="0.25">
      <c r="A48" s="28" t="s">
        <v>49</v>
      </c>
      <c r="B48" s="29">
        <v>46097</v>
      </c>
      <c r="C48" s="30" t="s">
        <v>457</v>
      </c>
      <c r="D48" s="28" t="s">
        <v>205</v>
      </c>
      <c r="E48" s="28" t="s">
        <v>12</v>
      </c>
      <c r="F48" s="28" t="s">
        <v>188</v>
      </c>
      <c r="G48" s="28" t="str">
        <f t="shared" ref="G48:G52" si="17">IF(C48="Sunday", "SUNDAY", IF(OR(D48=0, D48="", D48="0:0"), "ABSENT", IF(MOD(D48,1) &gt; TIME(9,45,0), "LATE", "OK")))</f>
        <v>OK</v>
      </c>
      <c r="H48" s="31">
        <f t="shared" si="1"/>
        <v>-0.42777777777777781</v>
      </c>
      <c r="I48" s="27" t="str">
        <f t="shared" ref="I48:I52" si="18">IF(VALUE(E48) &gt; TIME(19,0,0), TEXT(VALUE(E48) - TIME(19,0,0), "hh:mm"), "NO OT")</f>
        <v>NO OT</v>
      </c>
    </row>
    <row r="49" spans="1:9" hidden="1" x14ac:dyDescent="0.25">
      <c r="A49" s="28" t="s">
        <v>49</v>
      </c>
      <c r="B49" s="29">
        <v>46098</v>
      </c>
      <c r="C49" s="30" t="s">
        <v>458</v>
      </c>
      <c r="D49" s="28" t="s">
        <v>168</v>
      </c>
      <c r="E49" s="28" t="s">
        <v>280</v>
      </c>
      <c r="F49" s="28" t="s">
        <v>441</v>
      </c>
      <c r="G49" s="28" t="str">
        <f t="shared" si="17"/>
        <v>LATE</v>
      </c>
      <c r="H49" s="31">
        <f t="shared" si="1"/>
        <v>0.26111111111111107</v>
      </c>
      <c r="I49" s="27" t="str">
        <f t="shared" si="18"/>
        <v>NO OT</v>
      </c>
    </row>
    <row r="50" spans="1:9" hidden="1" x14ac:dyDescent="0.25">
      <c r="A50" s="28" t="s">
        <v>49</v>
      </c>
      <c r="B50" s="29">
        <v>46099</v>
      </c>
      <c r="C50" s="30" t="s">
        <v>459</v>
      </c>
      <c r="D50" s="28" t="s">
        <v>450</v>
      </c>
      <c r="E50" s="28" t="s">
        <v>486</v>
      </c>
      <c r="F50" s="28" t="s">
        <v>487</v>
      </c>
      <c r="G50" s="28" t="str">
        <f t="shared" si="17"/>
        <v>OK</v>
      </c>
      <c r="H50" s="31">
        <f t="shared" si="1"/>
        <v>0.28611111111111109</v>
      </c>
      <c r="I50" s="27" t="str">
        <f t="shared" si="18"/>
        <v>NO OT</v>
      </c>
    </row>
    <row r="51" spans="1:9" hidden="1" x14ac:dyDescent="0.25">
      <c r="A51" s="28" t="s">
        <v>49</v>
      </c>
      <c r="B51" s="29">
        <v>46100</v>
      </c>
      <c r="C51" s="30" t="s">
        <v>460</v>
      </c>
      <c r="D51" s="28" t="s">
        <v>123</v>
      </c>
      <c r="E51" s="28" t="s">
        <v>486</v>
      </c>
      <c r="F51" s="28" t="s">
        <v>488</v>
      </c>
      <c r="G51" s="28" t="str">
        <f t="shared" si="17"/>
        <v>LATE</v>
      </c>
      <c r="H51" s="31">
        <f t="shared" si="1"/>
        <v>0.22638888888888895</v>
      </c>
      <c r="I51" s="27" t="str">
        <f t="shared" si="18"/>
        <v>NO OT</v>
      </c>
    </row>
    <row r="52" spans="1:9" hidden="1" x14ac:dyDescent="0.25">
      <c r="A52" s="28" t="s">
        <v>49</v>
      </c>
      <c r="B52" s="29">
        <v>46101</v>
      </c>
      <c r="C52" s="30" t="s">
        <v>461</v>
      </c>
      <c r="D52" s="28" t="s">
        <v>364</v>
      </c>
      <c r="E52" s="28" t="s">
        <v>482</v>
      </c>
      <c r="F52" s="28" t="s">
        <v>233</v>
      </c>
      <c r="G52" s="28" t="str">
        <f t="shared" si="17"/>
        <v>OK</v>
      </c>
      <c r="H52" s="31">
        <f t="shared" si="1"/>
        <v>0.28749999999999998</v>
      </c>
      <c r="I52" s="27" t="str">
        <f t="shared" si="18"/>
        <v>NO OT</v>
      </c>
    </row>
    <row r="53" spans="1:9" hidden="1" x14ac:dyDescent="0.25">
      <c r="A53" s="28" t="s">
        <v>49</v>
      </c>
      <c r="B53" s="29">
        <v>46102</v>
      </c>
      <c r="C53" s="30" t="s">
        <v>463</v>
      </c>
      <c r="D53" s="28" t="s">
        <v>12</v>
      </c>
      <c r="E53" s="28" t="s">
        <v>12</v>
      </c>
      <c r="F53" s="28" t="s">
        <v>12</v>
      </c>
      <c r="G53" s="60" t="s">
        <v>592</v>
      </c>
      <c r="H53" s="61"/>
      <c r="I53" s="62"/>
    </row>
    <row r="54" spans="1:9" hidden="1" x14ac:dyDescent="0.25">
      <c r="A54" s="28" t="s">
        <v>49</v>
      </c>
      <c r="B54" s="29">
        <v>46103</v>
      </c>
      <c r="C54" s="60" t="s">
        <v>456</v>
      </c>
      <c r="D54" s="61"/>
      <c r="E54" s="61"/>
      <c r="F54" s="61"/>
      <c r="G54" s="61"/>
      <c r="H54" s="61"/>
      <c r="I54" s="62"/>
    </row>
    <row r="55" spans="1:9" hidden="1" x14ac:dyDescent="0.25">
      <c r="A55" s="28" t="s">
        <v>49</v>
      </c>
      <c r="B55" s="29">
        <v>46104</v>
      </c>
      <c r="C55" s="30" t="s">
        <v>457</v>
      </c>
      <c r="D55" s="28" t="s">
        <v>12</v>
      </c>
      <c r="E55" s="28" t="s">
        <v>12</v>
      </c>
      <c r="F55" s="28" t="s">
        <v>12</v>
      </c>
      <c r="G55" s="60" t="s">
        <v>592</v>
      </c>
      <c r="H55" s="61"/>
      <c r="I55" s="62"/>
    </row>
    <row r="56" spans="1:9" hidden="1" x14ac:dyDescent="0.25">
      <c r="A56" s="28" t="s">
        <v>49</v>
      </c>
      <c r="B56" s="29">
        <v>46105</v>
      </c>
      <c r="C56" s="30" t="s">
        <v>458</v>
      </c>
      <c r="D56" s="28" t="s">
        <v>310</v>
      </c>
      <c r="E56" s="28" t="s">
        <v>489</v>
      </c>
      <c r="F56" s="28" t="s">
        <v>404</v>
      </c>
      <c r="G56" s="28" t="str">
        <f t="shared" ref="G56:G60" si="19">IF(C56="Sunday", "SUNDAY", IF(OR(D56=0, D56="", D56="0:0"), "ABSENT", IF(MOD(D56,1) &gt; TIME(9,45,0), "LATE", "OK")))</f>
        <v>OK</v>
      </c>
      <c r="H56" s="31">
        <f t="shared" si="1"/>
        <v>0.35069444444444436</v>
      </c>
      <c r="I56" s="27" t="str">
        <f t="shared" ref="I56:I60" si="20">IF(VALUE(E56) &gt; TIME(19,0,0), TEXT(VALUE(E56) - TIME(19,0,0), "hh:mm"), "NO OT")</f>
        <v>00:04</v>
      </c>
    </row>
    <row r="57" spans="1:9" hidden="1" x14ac:dyDescent="0.25">
      <c r="A57" s="28" t="s">
        <v>49</v>
      </c>
      <c r="B57" s="29">
        <v>46106</v>
      </c>
      <c r="C57" s="30" t="s">
        <v>459</v>
      </c>
      <c r="D57" s="28" t="s">
        <v>315</v>
      </c>
      <c r="E57" s="28" t="s">
        <v>190</v>
      </c>
      <c r="F57" s="28" t="s">
        <v>372</v>
      </c>
      <c r="G57" s="28" t="str">
        <f t="shared" si="19"/>
        <v>OK</v>
      </c>
      <c r="H57" s="31">
        <f t="shared" si="1"/>
        <v>0.32708333333333334</v>
      </c>
      <c r="I57" s="27" t="str">
        <f t="shared" si="20"/>
        <v>NO OT</v>
      </c>
    </row>
    <row r="58" spans="1:9" hidden="1" x14ac:dyDescent="0.25">
      <c r="A58" s="28" t="s">
        <v>49</v>
      </c>
      <c r="B58" s="29">
        <v>46107</v>
      </c>
      <c r="C58" s="30" t="s">
        <v>460</v>
      </c>
      <c r="D58" s="28" t="s">
        <v>371</v>
      </c>
      <c r="E58" s="28" t="s">
        <v>490</v>
      </c>
      <c r="F58" s="28" t="s">
        <v>491</v>
      </c>
      <c r="G58" s="28" t="str">
        <f t="shared" si="19"/>
        <v>OK</v>
      </c>
      <c r="H58" s="31">
        <f t="shared" si="1"/>
        <v>0.42708333333333337</v>
      </c>
      <c r="I58" s="27" t="str">
        <f t="shared" si="20"/>
        <v>01:47</v>
      </c>
    </row>
    <row r="59" spans="1:9" hidden="1" x14ac:dyDescent="0.25">
      <c r="A59" s="28" t="s">
        <v>49</v>
      </c>
      <c r="B59" s="29">
        <v>46108</v>
      </c>
      <c r="C59" s="30" t="s">
        <v>461</v>
      </c>
      <c r="D59" s="28" t="s">
        <v>492</v>
      </c>
      <c r="E59" s="28" t="s">
        <v>223</v>
      </c>
      <c r="F59" s="28" t="s">
        <v>329</v>
      </c>
      <c r="G59" s="28" t="str">
        <f t="shared" si="19"/>
        <v>LATE</v>
      </c>
      <c r="H59" s="31">
        <f t="shared" si="1"/>
        <v>0.30486111111111114</v>
      </c>
      <c r="I59" s="27" t="str">
        <f t="shared" si="20"/>
        <v>NO OT</v>
      </c>
    </row>
    <row r="60" spans="1:9" hidden="1" x14ac:dyDescent="0.25">
      <c r="A60" s="28" t="s">
        <v>49</v>
      </c>
      <c r="B60" s="29">
        <v>46109</v>
      </c>
      <c r="C60" s="30" t="s">
        <v>463</v>
      </c>
      <c r="D60" s="28" t="s">
        <v>177</v>
      </c>
      <c r="E60" s="28" t="s">
        <v>313</v>
      </c>
      <c r="F60" s="28" t="s">
        <v>493</v>
      </c>
      <c r="G60" s="28" t="str">
        <f t="shared" si="19"/>
        <v>LATE</v>
      </c>
      <c r="H60" s="31">
        <f t="shared" si="1"/>
        <v>0.25694444444444442</v>
      </c>
      <c r="I60" s="27" t="str">
        <f t="shared" si="20"/>
        <v>NO OT</v>
      </c>
    </row>
    <row r="61" spans="1:9" hidden="1" x14ac:dyDescent="0.25">
      <c r="A61" s="28" t="s">
        <v>49</v>
      </c>
      <c r="B61" s="29">
        <v>46110</v>
      </c>
      <c r="C61" s="60" t="s">
        <v>456</v>
      </c>
      <c r="D61" s="61"/>
      <c r="E61" s="61"/>
      <c r="F61" s="61"/>
      <c r="G61" s="61"/>
      <c r="H61" s="61"/>
      <c r="I61" s="62"/>
    </row>
    <row r="62" spans="1:9" hidden="1" x14ac:dyDescent="0.25">
      <c r="A62" s="28" t="s">
        <v>49</v>
      </c>
      <c r="B62" s="29">
        <v>46111</v>
      </c>
      <c r="C62" s="30" t="s">
        <v>457</v>
      </c>
      <c r="D62" s="28" t="s">
        <v>187</v>
      </c>
      <c r="E62" s="28" t="s">
        <v>12</v>
      </c>
      <c r="F62" s="28" t="s">
        <v>188</v>
      </c>
      <c r="G62" s="28" t="str">
        <f t="shared" ref="G62:G63" si="21">IF(C62="Sunday", "SUNDAY", IF(OR(D62=0, D62="", D62="0:0"), "ABSENT", IF(MOD(D62,1) &gt; TIME(9,45,0), "LATE", "OK")))</f>
        <v>LATE</v>
      </c>
      <c r="H62" s="31">
        <f t="shared" si="1"/>
        <v>-0.46597222222222223</v>
      </c>
      <c r="I62" s="27" t="str">
        <f t="shared" ref="I62:I63" si="22">IF(VALUE(E62) &gt; TIME(19,0,0), TEXT(VALUE(E62) - TIME(19,0,0), "hh:mm"), "NO OT")</f>
        <v>NO OT</v>
      </c>
    </row>
    <row r="63" spans="1:9" hidden="1" x14ac:dyDescent="0.25">
      <c r="A63" s="28" t="s">
        <v>49</v>
      </c>
      <c r="B63" s="29">
        <v>46112</v>
      </c>
      <c r="C63" s="30" t="s">
        <v>458</v>
      </c>
      <c r="D63" s="28" t="s">
        <v>494</v>
      </c>
      <c r="E63" s="28" t="s">
        <v>207</v>
      </c>
      <c r="F63" s="28" t="s">
        <v>221</v>
      </c>
      <c r="G63" s="28" t="str">
        <f t="shared" si="21"/>
        <v>OK</v>
      </c>
      <c r="H63" s="31">
        <f t="shared" si="1"/>
        <v>0.33333333333333337</v>
      </c>
      <c r="I63" s="27" t="str">
        <f t="shared" si="22"/>
        <v>NO OT</v>
      </c>
    </row>
    <row r="64" spans="1:9" hidden="1" x14ac:dyDescent="0.25">
      <c r="A64" s="28" t="s">
        <v>495</v>
      </c>
      <c r="B64" s="29">
        <v>46082</v>
      </c>
      <c r="C64" s="60" t="s">
        <v>456</v>
      </c>
      <c r="D64" s="61"/>
      <c r="E64" s="61"/>
      <c r="F64" s="61"/>
      <c r="G64" s="61"/>
      <c r="H64" s="61"/>
      <c r="I64" s="62"/>
    </row>
    <row r="65" spans="1:9" hidden="1" x14ac:dyDescent="0.25">
      <c r="A65" s="28" t="s">
        <v>495</v>
      </c>
      <c r="B65" s="29">
        <v>46083</v>
      </c>
      <c r="C65" s="30" t="s">
        <v>457</v>
      </c>
      <c r="D65" s="28" t="s">
        <v>494</v>
      </c>
      <c r="E65" s="28" t="s">
        <v>280</v>
      </c>
      <c r="F65" s="28" t="s">
        <v>289</v>
      </c>
      <c r="G65" s="28" t="str">
        <f t="shared" ref="G65:G70" si="23">IF(C65="Sunday", "SUNDAY", IF(OR(D65=0, D65="", D65="0:0"), "ABSENT", IF(MOD(D65,1) &gt; TIME(9,45,0), "LATE", "OK")))</f>
        <v>OK</v>
      </c>
      <c r="H65" s="31">
        <f t="shared" si="1"/>
        <v>0.28888888888888886</v>
      </c>
      <c r="I65" s="27" t="str">
        <f t="shared" ref="I65:I70" si="24">IF(VALUE(E65) &gt; TIME(19,0,0), TEXT(VALUE(E65) - TIME(19,0,0), "hh:mm"), "NO OT")</f>
        <v>NO OT</v>
      </c>
    </row>
    <row r="66" spans="1:9" hidden="1" x14ac:dyDescent="0.25">
      <c r="A66" s="28" t="s">
        <v>495</v>
      </c>
      <c r="B66" s="29">
        <v>46084</v>
      </c>
      <c r="C66" s="30" t="s">
        <v>458</v>
      </c>
      <c r="D66" s="28" t="s">
        <v>357</v>
      </c>
      <c r="E66" s="28" t="s">
        <v>496</v>
      </c>
      <c r="F66" s="28" t="s">
        <v>372</v>
      </c>
      <c r="G66" s="28" t="str">
        <f t="shared" si="23"/>
        <v>OK</v>
      </c>
      <c r="H66" s="31">
        <f t="shared" si="1"/>
        <v>0.32708333333333328</v>
      </c>
      <c r="I66" s="27" t="str">
        <f t="shared" si="24"/>
        <v>NO OT</v>
      </c>
    </row>
    <row r="67" spans="1:9" hidden="1" x14ac:dyDescent="0.25">
      <c r="A67" s="28" t="s">
        <v>495</v>
      </c>
      <c r="B67" s="29">
        <v>46085</v>
      </c>
      <c r="C67" s="30" t="s">
        <v>459</v>
      </c>
      <c r="D67" s="28" t="s">
        <v>12</v>
      </c>
      <c r="E67" s="28" t="s">
        <v>12</v>
      </c>
      <c r="F67" s="28" t="s">
        <v>12</v>
      </c>
      <c r="G67" s="60" t="s">
        <v>594</v>
      </c>
      <c r="H67" s="61"/>
      <c r="I67" s="62"/>
    </row>
    <row r="68" spans="1:9" hidden="1" x14ac:dyDescent="0.25">
      <c r="A68" s="28" t="s">
        <v>495</v>
      </c>
      <c r="B68" s="29">
        <v>46086</v>
      </c>
      <c r="C68" s="30" t="s">
        <v>460</v>
      </c>
      <c r="D68" s="28" t="s">
        <v>360</v>
      </c>
      <c r="E68" s="28" t="s">
        <v>12</v>
      </c>
      <c r="F68" s="28" t="s">
        <v>188</v>
      </c>
      <c r="G68" s="28" t="str">
        <f t="shared" si="23"/>
        <v>OK</v>
      </c>
      <c r="H68" s="31">
        <f t="shared" ref="H68:H131" si="25">IF(OR(D68=0, D68="", E68=0, E68=""), 0, (E68-D68)-TIME(1,0,0))</f>
        <v>-0.43819444444444444</v>
      </c>
      <c r="I68" s="27" t="str">
        <f t="shared" si="24"/>
        <v>NO OT</v>
      </c>
    </row>
    <row r="69" spans="1:9" hidden="1" x14ac:dyDescent="0.25">
      <c r="A69" s="28" t="s">
        <v>495</v>
      </c>
      <c r="B69" s="29">
        <v>46087</v>
      </c>
      <c r="C69" s="30" t="s">
        <v>461</v>
      </c>
      <c r="D69" s="28" t="s">
        <v>333</v>
      </c>
      <c r="E69" s="28" t="s">
        <v>12</v>
      </c>
      <c r="F69" s="28" t="s">
        <v>188</v>
      </c>
      <c r="G69" s="28" t="str">
        <f t="shared" si="23"/>
        <v>LATE</v>
      </c>
      <c r="H69" s="31">
        <f t="shared" si="25"/>
        <v>-0.8125</v>
      </c>
      <c r="I69" s="27" t="str">
        <f t="shared" si="24"/>
        <v>NO OT</v>
      </c>
    </row>
    <row r="70" spans="1:9" hidden="1" x14ac:dyDescent="0.25">
      <c r="A70" s="28" t="s">
        <v>495</v>
      </c>
      <c r="B70" s="29">
        <v>46088</v>
      </c>
      <c r="C70" s="30" t="s">
        <v>463</v>
      </c>
      <c r="D70" s="28" t="s">
        <v>300</v>
      </c>
      <c r="E70" s="28" t="s">
        <v>340</v>
      </c>
      <c r="F70" s="28" t="s">
        <v>497</v>
      </c>
      <c r="G70" s="28" t="str">
        <f t="shared" si="23"/>
        <v>OK</v>
      </c>
      <c r="H70" s="31">
        <f t="shared" si="25"/>
        <v>0.31736111111111109</v>
      </c>
      <c r="I70" s="27" t="str">
        <f t="shared" si="24"/>
        <v>NO OT</v>
      </c>
    </row>
    <row r="71" spans="1:9" hidden="1" x14ac:dyDescent="0.25">
      <c r="A71" s="28" t="s">
        <v>495</v>
      </c>
      <c r="B71" s="29">
        <v>46089</v>
      </c>
      <c r="C71" s="60" t="s">
        <v>456</v>
      </c>
      <c r="D71" s="61"/>
      <c r="E71" s="61"/>
      <c r="F71" s="61"/>
      <c r="G71" s="61"/>
      <c r="H71" s="61"/>
      <c r="I71" s="62"/>
    </row>
    <row r="72" spans="1:9" hidden="1" x14ac:dyDescent="0.25">
      <c r="A72" s="28" t="s">
        <v>495</v>
      </c>
      <c r="B72" s="29">
        <v>46090</v>
      </c>
      <c r="C72" s="30" t="s">
        <v>457</v>
      </c>
      <c r="D72" s="28" t="s">
        <v>224</v>
      </c>
      <c r="E72" s="28" t="s">
        <v>270</v>
      </c>
      <c r="F72" s="28" t="s">
        <v>335</v>
      </c>
      <c r="G72" s="28" t="str">
        <f t="shared" ref="G72:G77" si="26">IF(C72="Sunday", "SUNDAY", IF(OR(D72=0, D72="", D72="0:0"), "ABSENT", IF(MOD(D72,1) &gt; TIME(9,45,0), "LATE", "OK")))</f>
        <v>LATE</v>
      </c>
      <c r="H72" s="31">
        <f t="shared" si="25"/>
        <v>0.3118055555555555</v>
      </c>
      <c r="I72" s="27" t="str">
        <f t="shared" ref="I72:I77" si="27">IF(VALUE(E72) &gt; TIME(19,0,0), TEXT(VALUE(E72) - TIME(19,0,0), "hh:mm"), "NO OT")</f>
        <v>NO OT</v>
      </c>
    </row>
    <row r="73" spans="1:9" hidden="1" x14ac:dyDescent="0.25">
      <c r="A73" s="28" t="s">
        <v>495</v>
      </c>
      <c r="B73" s="29">
        <v>46091</v>
      </c>
      <c r="C73" s="30" t="s">
        <v>458</v>
      </c>
      <c r="D73" s="28" t="s">
        <v>264</v>
      </c>
      <c r="E73" s="28" t="s">
        <v>356</v>
      </c>
      <c r="F73" s="28" t="s">
        <v>498</v>
      </c>
      <c r="G73" s="28" t="str">
        <f t="shared" si="26"/>
        <v>LATE</v>
      </c>
      <c r="H73" s="31">
        <f t="shared" si="25"/>
        <v>0.3034722222222222</v>
      </c>
      <c r="I73" s="27" t="str">
        <f t="shared" si="27"/>
        <v>NO OT</v>
      </c>
    </row>
    <row r="74" spans="1:9" hidden="1" x14ac:dyDescent="0.25">
      <c r="A74" s="28" t="s">
        <v>495</v>
      </c>
      <c r="B74" s="29">
        <v>46092</v>
      </c>
      <c r="C74" s="30" t="s">
        <v>459</v>
      </c>
      <c r="D74" s="28" t="s">
        <v>494</v>
      </c>
      <c r="E74" s="28" t="s">
        <v>499</v>
      </c>
      <c r="F74" s="28" t="s">
        <v>239</v>
      </c>
      <c r="G74" s="28" t="str">
        <f t="shared" si="26"/>
        <v>OK</v>
      </c>
      <c r="H74" s="31">
        <f t="shared" si="25"/>
        <v>0.29861111111111105</v>
      </c>
      <c r="I74" s="27" t="str">
        <f t="shared" si="27"/>
        <v>NO OT</v>
      </c>
    </row>
    <row r="75" spans="1:9" hidden="1" x14ac:dyDescent="0.25">
      <c r="A75" s="28" t="s">
        <v>495</v>
      </c>
      <c r="B75" s="29">
        <v>46093</v>
      </c>
      <c r="C75" s="30" t="s">
        <v>460</v>
      </c>
      <c r="D75" s="28" t="s">
        <v>357</v>
      </c>
      <c r="E75" s="28" t="s">
        <v>500</v>
      </c>
      <c r="F75" s="28" t="s">
        <v>208</v>
      </c>
      <c r="G75" s="28" t="str">
        <f t="shared" si="26"/>
        <v>OK</v>
      </c>
      <c r="H75" s="31">
        <f t="shared" si="25"/>
        <v>0.32152777777777775</v>
      </c>
      <c r="I75" s="27" t="str">
        <f t="shared" si="27"/>
        <v>NO OT</v>
      </c>
    </row>
    <row r="76" spans="1:9" hidden="1" x14ac:dyDescent="0.25">
      <c r="A76" s="28" t="s">
        <v>495</v>
      </c>
      <c r="B76" s="29">
        <v>46094</v>
      </c>
      <c r="C76" s="30" t="s">
        <v>461</v>
      </c>
      <c r="D76" s="28" t="s">
        <v>211</v>
      </c>
      <c r="E76" s="28" t="s">
        <v>353</v>
      </c>
      <c r="F76" s="28" t="s">
        <v>301</v>
      </c>
      <c r="G76" s="28" t="str">
        <f t="shared" si="26"/>
        <v>OK</v>
      </c>
      <c r="H76" s="31">
        <f t="shared" si="25"/>
        <v>0.3430555555555555</v>
      </c>
      <c r="I76" s="27" t="str">
        <f t="shared" si="27"/>
        <v>NO OT</v>
      </c>
    </row>
    <row r="77" spans="1:9" hidden="1" x14ac:dyDescent="0.25">
      <c r="A77" s="28" t="s">
        <v>495</v>
      </c>
      <c r="B77" s="29">
        <v>46095</v>
      </c>
      <c r="C77" s="30" t="s">
        <v>463</v>
      </c>
      <c r="D77" s="28" t="s">
        <v>364</v>
      </c>
      <c r="E77" s="28" t="s">
        <v>236</v>
      </c>
      <c r="F77" s="28" t="s">
        <v>501</v>
      </c>
      <c r="G77" s="28" t="str">
        <f t="shared" si="26"/>
        <v>OK</v>
      </c>
      <c r="H77" s="31">
        <f t="shared" si="25"/>
        <v>0.31666666666666665</v>
      </c>
      <c r="I77" s="27" t="str">
        <f t="shared" si="27"/>
        <v>NO OT</v>
      </c>
    </row>
    <row r="78" spans="1:9" hidden="1" x14ac:dyDescent="0.25">
      <c r="A78" s="28" t="s">
        <v>495</v>
      </c>
      <c r="B78" s="29">
        <v>46096</v>
      </c>
      <c r="C78" s="60" t="s">
        <v>456</v>
      </c>
      <c r="D78" s="61"/>
      <c r="E78" s="61"/>
      <c r="F78" s="61"/>
      <c r="G78" s="61"/>
      <c r="H78" s="61"/>
      <c r="I78" s="62"/>
    </row>
    <row r="79" spans="1:9" hidden="1" x14ac:dyDescent="0.25">
      <c r="A79" s="28" t="s">
        <v>495</v>
      </c>
      <c r="B79" s="29">
        <v>46097</v>
      </c>
      <c r="C79" s="30" t="s">
        <v>457</v>
      </c>
      <c r="D79" s="28" t="s">
        <v>502</v>
      </c>
      <c r="E79" s="28" t="s">
        <v>425</v>
      </c>
      <c r="F79" s="28" t="s">
        <v>316</v>
      </c>
      <c r="G79" s="28" t="str">
        <f t="shared" ref="G79:G83" si="28">IF(C79="Sunday", "SUNDAY", IF(OR(D79=0, D79="", D79="0:0"), "ABSENT", IF(MOD(D79,1) &gt; TIME(9,45,0), "LATE", "OK")))</f>
        <v>OK</v>
      </c>
      <c r="H79" s="31">
        <f t="shared" si="25"/>
        <v>0.31874999999999998</v>
      </c>
      <c r="I79" s="27" t="str">
        <f t="shared" ref="I79:I83" si="29">IF(VALUE(E79) &gt; TIME(19,0,0), TEXT(VALUE(E79) - TIME(19,0,0), "hh:mm"), "NO OT")</f>
        <v>NO OT</v>
      </c>
    </row>
    <row r="80" spans="1:9" hidden="1" x14ac:dyDescent="0.25">
      <c r="A80" s="28" t="s">
        <v>495</v>
      </c>
      <c r="B80" s="29">
        <v>46098</v>
      </c>
      <c r="C80" s="30" t="s">
        <v>458</v>
      </c>
      <c r="D80" s="28" t="s">
        <v>357</v>
      </c>
      <c r="E80" s="28" t="s">
        <v>292</v>
      </c>
      <c r="F80" s="28" t="s">
        <v>355</v>
      </c>
      <c r="G80" s="28" t="str">
        <f t="shared" si="28"/>
        <v>OK</v>
      </c>
      <c r="H80" s="31">
        <f t="shared" si="25"/>
        <v>0.33472222222222225</v>
      </c>
      <c r="I80" s="27" t="str">
        <f t="shared" si="29"/>
        <v>NO OT</v>
      </c>
    </row>
    <row r="81" spans="1:9" hidden="1" x14ac:dyDescent="0.25">
      <c r="A81" s="28" t="s">
        <v>495</v>
      </c>
      <c r="B81" s="29">
        <v>46099</v>
      </c>
      <c r="C81" s="30" t="s">
        <v>459</v>
      </c>
      <c r="D81" s="28" t="s">
        <v>189</v>
      </c>
      <c r="E81" s="28" t="s">
        <v>241</v>
      </c>
      <c r="F81" s="28" t="s">
        <v>503</v>
      </c>
      <c r="G81" s="28" t="str">
        <f t="shared" si="28"/>
        <v>OK</v>
      </c>
      <c r="H81" s="31">
        <f t="shared" si="25"/>
        <v>0.29236111111111113</v>
      </c>
      <c r="I81" s="27" t="str">
        <f t="shared" si="29"/>
        <v>NO OT</v>
      </c>
    </row>
    <row r="82" spans="1:9" hidden="1" x14ac:dyDescent="0.25">
      <c r="A82" s="28" t="s">
        <v>495</v>
      </c>
      <c r="B82" s="29">
        <v>46100</v>
      </c>
      <c r="C82" s="30" t="s">
        <v>460</v>
      </c>
      <c r="D82" s="28" t="s">
        <v>256</v>
      </c>
      <c r="E82" s="28" t="s">
        <v>236</v>
      </c>
      <c r="F82" s="28" t="s">
        <v>273</v>
      </c>
      <c r="G82" s="28" t="str">
        <f t="shared" si="28"/>
        <v>OK</v>
      </c>
      <c r="H82" s="31">
        <f t="shared" si="25"/>
        <v>0.30277777777777781</v>
      </c>
      <c r="I82" s="27" t="str">
        <f t="shared" si="29"/>
        <v>NO OT</v>
      </c>
    </row>
    <row r="83" spans="1:9" hidden="1" x14ac:dyDescent="0.25">
      <c r="A83" s="28" t="s">
        <v>495</v>
      </c>
      <c r="B83" s="29">
        <v>46101</v>
      </c>
      <c r="C83" s="30" t="s">
        <v>461</v>
      </c>
      <c r="D83" s="28" t="s">
        <v>371</v>
      </c>
      <c r="E83" s="28" t="s">
        <v>468</v>
      </c>
      <c r="F83" s="28" t="s">
        <v>504</v>
      </c>
      <c r="G83" s="28" t="str">
        <f t="shared" si="28"/>
        <v>OK</v>
      </c>
      <c r="H83" s="31">
        <f t="shared" si="25"/>
        <v>0.29791666666666672</v>
      </c>
      <c r="I83" s="27" t="str">
        <f t="shared" si="29"/>
        <v>NO OT</v>
      </c>
    </row>
    <row r="84" spans="1:9" hidden="1" x14ac:dyDescent="0.25">
      <c r="A84" s="28" t="s">
        <v>495</v>
      </c>
      <c r="B84" s="29">
        <v>46102</v>
      </c>
      <c r="C84" s="30" t="s">
        <v>463</v>
      </c>
      <c r="D84" s="28" t="s">
        <v>12</v>
      </c>
      <c r="E84" s="28" t="s">
        <v>12</v>
      </c>
      <c r="F84" s="28" t="s">
        <v>12</v>
      </c>
      <c r="G84" s="60" t="s">
        <v>592</v>
      </c>
      <c r="H84" s="61"/>
      <c r="I84" s="62"/>
    </row>
    <row r="85" spans="1:9" hidden="1" x14ac:dyDescent="0.25">
      <c r="A85" s="28" t="s">
        <v>495</v>
      </c>
      <c r="B85" s="29">
        <v>46103</v>
      </c>
      <c r="C85" s="60" t="s">
        <v>456</v>
      </c>
      <c r="D85" s="61"/>
      <c r="E85" s="61"/>
      <c r="F85" s="61"/>
      <c r="G85" s="61"/>
      <c r="H85" s="61"/>
      <c r="I85" s="62"/>
    </row>
    <row r="86" spans="1:9" hidden="1" x14ac:dyDescent="0.25">
      <c r="A86" s="28" t="s">
        <v>495</v>
      </c>
      <c r="B86" s="29">
        <v>46104</v>
      </c>
      <c r="C86" s="30" t="s">
        <v>457</v>
      </c>
      <c r="D86" s="28" t="s">
        <v>189</v>
      </c>
      <c r="E86" s="28" t="s">
        <v>265</v>
      </c>
      <c r="F86" s="28" t="s">
        <v>359</v>
      </c>
      <c r="G86" s="28" t="str">
        <f t="shared" ref="G86:G91" si="30">IF(C86="Sunday", "SUNDAY", IF(OR(D86=0, D86="", D86="0:0"), "ABSENT", IF(MOD(D86,1) &gt; TIME(9,45,0), "LATE", "OK")))</f>
        <v>OK</v>
      </c>
      <c r="H86" s="31">
        <f t="shared" si="25"/>
        <v>0.26527777777777778</v>
      </c>
      <c r="I86" s="27" t="str">
        <f t="shared" ref="I86:I91" si="31">IF(VALUE(E86) &gt; TIME(19,0,0), TEXT(VALUE(E86) - TIME(19,0,0), "hh:mm"), "NO OT")</f>
        <v>NO OT</v>
      </c>
    </row>
    <row r="87" spans="1:9" hidden="1" x14ac:dyDescent="0.25">
      <c r="A87" s="28" t="s">
        <v>495</v>
      </c>
      <c r="B87" s="29">
        <v>46105</v>
      </c>
      <c r="C87" s="30" t="s">
        <v>458</v>
      </c>
      <c r="D87" s="28" t="s">
        <v>253</v>
      </c>
      <c r="E87" s="28" t="s">
        <v>209</v>
      </c>
      <c r="F87" s="28" t="s">
        <v>501</v>
      </c>
      <c r="G87" s="28" t="str">
        <f t="shared" si="30"/>
        <v>LATE</v>
      </c>
      <c r="H87" s="31">
        <f t="shared" si="25"/>
        <v>0.31666666666666671</v>
      </c>
      <c r="I87" s="27" t="str">
        <f t="shared" si="31"/>
        <v>NO OT</v>
      </c>
    </row>
    <row r="88" spans="1:9" hidden="1" x14ac:dyDescent="0.25">
      <c r="A88" s="28" t="s">
        <v>495</v>
      </c>
      <c r="B88" s="29">
        <v>46106</v>
      </c>
      <c r="C88" s="30" t="s">
        <v>459</v>
      </c>
      <c r="D88" s="28" t="s">
        <v>371</v>
      </c>
      <c r="E88" s="28" t="s">
        <v>212</v>
      </c>
      <c r="F88" s="28" t="s">
        <v>210</v>
      </c>
      <c r="G88" s="28" t="str">
        <f t="shared" si="30"/>
        <v>OK</v>
      </c>
      <c r="H88" s="31">
        <f t="shared" si="25"/>
        <v>0.33263888888888893</v>
      </c>
      <c r="I88" s="27" t="str">
        <f t="shared" si="31"/>
        <v>NO OT</v>
      </c>
    </row>
    <row r="89" spans="1:9" hidden="1" x14ac:dyDescent="0.25">
      <c r="A89" s="28" t="s">
        <v>495</v>
      </c>
      <c r="B89" s="29">
        <v>46107</v>
      </c>
      <c r="C89" s="30" t="s">
        <v>460</v>
      </c>
      <c r="D89" s="28" t="s">
        <v>229</v>
      </c>
      <c r="E89" s="28" t="s">
        <v>505</v>
      </c>
      <c r="F89" s="28" t="s">
        <v>345</v>
      </c>
      <c r="G89" s="28" t="str">
        <f t="shared" si="30"/>
        <v>LATE</v>
      </c>
      <c r="H89" s="31">
        <f t="shared" si="25"/>
        <v>0.33888888888888885</v>
      </c>
      <c r="I89" s="27" t="str">
        <f t="shared" si="31"/>
        <v>NO OT</v>
      </c>
    </row>
    <row r="90" spans="1:9" hidden="1" x14ac:dyDescent="0.25">
      <c r="A90" s="28" t="s">
        <v>495</v>
      </c>
      <c r="B90" s="29">
        <v>46108</v>
      </c>
      <c r="C90" s="30" t="s">
        <v>461</v>
      </c>
      <c r="D90" s="28" t="s">
        <v>315</v>
      </c>
      <c r="E90" s="28" t="s">
        <v>311</v>
      </c>
      <c r="F90" s="28" t="s">
        <v>194</v>
      </c>
      <c r="G90" s="28" t="str">
        <f t="shared" si="30"/>
        <v>OK</v>
      </c>
      <c r="H90" s="31">
        <f t="shared" si="25"/>
        <v>0.32847222222222222</v>
      </c>
      <c r="I90" s="27" t="str">
        <f t="shared" si="31"/>
        <v>NO OT</v>
      </c>
    </row>
    <row r="91" spans="1:9" hidden="1" x14ac:dyDescent="0.25">
      <c r="A91" s="28" t="s">
        <v>495</v>
      </c>
      <c r="B91" s="29">
        <v>46109</v>
      </c>
      <c r="C91" s="30" t="s">
        <v>463</v>
      </c>
      <c r="D91" s="28" t="s">
        <v>222</v>
      </c>
      <c r="E91" s="28" t="s">
        <v>267</v>
      </c>
      <c r="F91" s="28" t="s">
        <v>218</v>
      </c>
      <c r="G91" s="28" t="str">
        <f t="shared" si="30"/>
        <v>OK</v>
      </c>
      <c r="H91" s="31">
        <f t="shared" si="25"/>
        <v>0.32430555555555557</v>
      </c>
      <c r="I91" s="27" t="str">
        <f t="shared" si="31"/>
        <v>NO OT</v>
      </c>
    </row>
    <row r="92" spans="1:9" hidden="1" x14ac:dyDescent="0.25">
      <c r="A92" s="28" t="s">
        <v>495</v>
      </c>
      <c r="B92" s="29">
        <v>46110</v>
      </c>
      <c r="C92" s="60" t="s">
        <v>456</v>
      </c>
      <c r="D92" s="61"/>
      <c r="E92" s="61"/>
      <c r="F92" s="61"/>
      <c r="G92" s="61"/>
      <c r="H92" s="61"/>
      <c r="I92" s="62"/>
    </row>
    <row r="93" spans="1:9" hidden="1" x14ac:dyDescent="0.25">
      <c r="A93" s="28" t="s">
        <v>495</v>
      </c>
      <c r="B93" s="29">
        <v>46111</v>
      </c>
      <c r="C93" s="30" t="s">
        <v>457</v>
      </c>
      <c r="D93" s="28" t="s">
        <v>222</v>
      </c>
      <c r="E93" s="28" t="s">
        <v>212</v>
      </c>
      <c r="F93" s="28" t="s">
        <v>257</v>
      </c>
      <c r="G93" s="28" t="str">
        <f t="shared" ref="G93:G94" si="32">IF(C93="Sunday", "SUNDAY", IF(OR(D93=0, D93="", D93="0:0"), "ABSENT", IF(MOD(D93,1) &gt; TIME(9,45,0), "LATE", "OK")))</f>
        <v>OK</v>
      </c>
      <c r="H93" s="31">
        <f t="shared" si="25"/>
        <v>0.3298611111111111</v>
      </c>
      <c r="I93" s="27" t="str">
        <f t="shared" ref="I93:I94" si="33">IF(VALUE(E93) &gt; TIME(19,0,0), TEXT(VALUE(E93) - TIME(19,0,0), "hh:mm"), "NO OT")</f>
        <v>NO OT</v>
      </c>
    </row>
    <row r="94" spans="1:9" hidden="1" x14ac:dyDescent="0.25">
      <c r="A94" s="28" t="s">
        <v>495</v>
      </c>
      <c r="B94" s="29">
        <v>46112</v>
      </c>
      <c r="C94" s="30" t="s">
        <v>458</v>
      </c>
      <c r="D94" s="28" t="s">
        <v>272</v>
      </c>
      <c r="E94" s="28" t="s">
        <v>349</v>
      </c>
      <c r="F94" s="28" t="s">
        <v>304</v>
      </c>
      <c r="G94" s="28" t="str">
        <f t="shared" si="32"/>
        <v>OK</v>
      </c>
      <c r="H94" s="31">
        <f t="shared" si="25"/>
        <v>0.34583333333333333</v>
      </c>
      <c r="I94" s="27" t="str">
        <f t="shared" si="33"/>
        <v>NO OT</v>
      </c>
    </row>
    <row r="95" spans="1:9" x14ac:dyDescent="0.25">
      <c r="A95" s="28" t="s">
        <v>506</v>
      </c>
      <c r="B95" s="29">
        <v>46082</v>
      </c>
      <c r="C95" s="60" t="s">
        <v>456</v>
      </c>
      <c r="D95" s="61"/>
      <c r="E95" s="61"/>
      <c r="F95" s="61"/>
      <c r="G95" s="61"/>
      <c r="H95" s="61"/>
      <c r="I95" s="62"/>
    </row>
    <row r="96" spans="1:9" x14ac:dyDescent="0.25">
      <c r="A96" s="28" t="s">
        <v>506</v>
      </c>
      <c r="B96" s="29">
        <v>46083</v>
      </c>
      <c r="C96" s="30" t="s">
        <v>457</v>
      </c>
      <c r="D96" s="28" t="s">
        <v>507</v>
      </c>
      <c r="E96" s="28" t="s">
        <v>508</v>
      </c>
      <c r="F96" s="28" t="s">
        <v>509</v>
      </c>
      <c r="G96" s="28" t="str">
        <f t="shared" ref="G96:G101" si="34">IF(C96="Sunday", "SUNDAY", IF(OR(D96=0, D96="", D96="0:0"), "ABSENT", IF(MOD(D96,1) &gt; TIME(9,45,0), "LATE", "OK")))</f>
        <v>LATE</v>
      </c>
      <c r="H96" s="31">
        <f t="shared" si="25"/>
        <v>0.23472222222222225</v>
      </c>
      <c r="I96" s="27" t="str">
        <f t="shared" ref="I96:I100" si="35">IF(VALUE(E96) &gt; TIME(19,0,0), TEXT(VALUE(E96) - TIME(19,0,0), "hh:mm"), "NO OT")</f>
        <v>NO OT</v>
      </c>
    </row>
    <row r="97" spans="1:9" x14ac:dyDescent="0.25">
      <c r="A97" s="28" t="s">
        <v>506</v>
      </c>
      <c r="B97" s="29">
        <v>46084</v>
      </c>
      <c r="C97" s="30" t="s">
        <v>458</v>
      </c>
      <c r="D97" s="28" t="s">
        <v>253</v>
      </c>
      <c r="E97" s="28" t="s">
        <v>510</v>
      </c>
      <c r="F97" s="28" t="s">
        <v>451</v>
      </c>
      <c r="G97" s="28" t="str">
        <f t="shared" si="34"/>
        <v>LATE</v>
      </c>
      <c r="H97" s="31">
        <f t="shared" si="25"/>
        <v>0.30416666666666664</v>
      </c>
      <c r="I97" s="27" t="str">
        <f t="shared" si="35"/>
        <v>NO OT</v>
      </c>
    </row>
    <row r="98" spans="1:9" x14ac:dyDescent="0.25">
      <c r="A98" s="28" t="s">
        <v>506</v>
      </c>
      <c r="B98" s="29">
        <v>46085</v>
      </c>
      <c r="C98" s="30" t="s">
        <v>459</v>
      </c>
      <c r="D98" s="28" t="s">
        <v>12</v>
      </c>
      <c r="E98" s="28" t="s">
        <v>12</v>
      </c>
      <c r="F98" s="28" t="s">
        <v>12</v>
      </c>
      <c r="G98" s="60" t="s">
        <v>594</v>
      </c>
      <c r="H98" s="61"/>
      <c r="I98" s="62"/>
    </row>
    <row r="99" spans="1:9" x14ac:dyDescent="0.25">
      <c r="A99" s="28" t="s">
        <v>506</v>
      </c>
      <c r="B99" s="29">
        <v>46086</v>
      </c>
      <c r="C99" s="30" t="s">
        <v>460</v>
      </c>
      <c r="D99" s="28" t="s">
        <v>313</v>
      </c>
      <c r="E99" s="28" t="s">
        <v>12</v>
      </c>
      <c r="F99" s="28" t="s">
        <v>188</v>
      </c>
      <c r="G99" s="28" t="str">
        <f t="shared" si="34"/>
        <v>LATE</v>
      </c>
      <c r="H99" s="31">
        <f t="shared" si="25"/>
        <v>-0.78819444444444442</v>
      </c>
      <c r="I99" s="27" t="str">
        <f t="shared" si="35"/>
        <v>NO OT</v>
      </c>
    </row>
    <row r="100" spans="1:9" x14ac:dyDescent="0.25">
      <c r="A100" s="28" t="s">
        <v>506</v>
      </c>
      <c r="B100" s="29">
        <v>46087</v>
      </c>
      <c r="C100" s="30" t="s">
        <v>461</v>
      </c>
      <c r="D100" s="28" t="s">
        <v>291</v>
      </c>
      <c r="E100" s="28" t="s">
        <v>207</v>
      </c>
      <c r="F100" s="28" t="s">
        <v>335</v>
      </c>
      <c r="G100" s="28" t="str">
        <f t="shared" si="34"/>
        <v>LATE</v>
      </c>
      <c r="H100" s="31">
        <f t="shared" si="25"/>
        <v>0.31180555555555561</v>
      </c>
      <c r="I100" s="27" t="str">
        <f t="shared" si="35"/>
        <v>NO OT</v>
      </c>
    </row>
    <row r="101" spans="1:9" x14ac:dyDescent="0.25">
      <c r="A101" s="28" t="s">
        <v>506</v>
      </c>
      <c r="B101" s="29">
        <v>46088</v>
      </c>
      <c r="C101" s="30" t="s">
        <v>463</v>
      </c>
      <c r="D101" s="28" t="s">
        <v>12</v>
      </c>
      <c r="E101" s="28" t="s">
        <v>12</v>
      </c>
      <c r="F101" s="28" t="s">
        <v>12</v>
      </c>
      <c r="G101" s="60" t="str">
        <f t="shared" si="34"/>
        <v>ABSENT</v>
      </c>
      <c r="H101" s="61"/>
      <c r="I101" s="62"/>
    </row>
    <row r="102" spans="1:9" x14ac:dyDescent="0.25">
      <c r="A102" s="28" t="s">
        <v>506</v>
      </c>
      <c r="B102" s="29">
        <v>46089</v>
      </c>
      <c r="C102" s="60" t="s">
        <v>456</v>
      </c>
      <c r="D102" s="61"/>
      <c r="E102" s="61"/>
      <c r="F102" s="61"/>
      <c r="G102" s="61"/>
      <c r="H102" s="61"/>
      <c r="I102" s="62"/>
    </row>
    <row r="103" spans="1:9" x14ac:dyDescent="0.25">
      <c r="A103" s="28" t="s">
        <v>506</v>
      </c>
      <c r="B103" s="29">
        <v>46090</v>
      </c>
      <c r="C103" s="30" t="s">
        <v>457</v>
      </c>
      <c r="D103" s="28" t="s">
        <v>179</v>
      </c>
      <c r="E103" s="28" t="s">
        <v>496</v>
      </c>
      <c r="F103" s="28" t="s">
        <v>395</v>
      </c>
      <c r="G103" s="28" t="str">
        <f t="shared" ref="G103:G108" si="36">IF(C103="Sunday", "SUNDAY", IF(OR(D103=0, D103="", D103="0:0"), "ABSENT", IF(MOD(D103,1) &gt; TIME(9,45,0), "LATE", "OK")))</f>
        <v>LATE</v>
      </c>
      <c r="H103" s="31">
        <f t="shared" si="25"/>
        <v>0.28124999999999994</v>
      </c>
      <c r="I103" s="27" t="str">
        <f t="shared" ref="I103:I107" si="37">IF(VALUE(E103) &gt; TIME(19,0,0), TEXT(VALUE(E103) - TIME(19,0,0), "hh:mm"), "NO OT")</f>
        <v>NO OT</v>
      </c>
    </row>
    <row r="104" spans="1:9" x14ac:dyDescent="0.25">
      <c r="A104" s="28" t="s">
        <v>506</v>
      </c>
      <c r="B104" s="29">
        <v>46091</v>
      </c>
      <c r="C104" s="30" t="s">
        <v>458</v>
      </c>
      <c r="D104" s="28" t="s">
        <v>330</v>
      </c>
      <c r="E104" s="28" t="s">
        <v>261</v>
      </c>
      <c r="F104" s="28" t="s">
        <v>386</v>
      </c>
      <c r="G104" s="28" t="str">
        <f t="shared" si="36"/>
        <v>LATE</v>
      </c>
      <c r="H104" s="31">
        <f t="shared" si="25"/>
        <v>0.30624999999999991</v>
      </c>
      <c r="I104" s="27" t="str">
        <f t="shared" si="37"/>
        <v>NO OT</v>
      </c>
    </row>
    <row r="105" spans="1:9" x14ac:dyDescent="0.25">
      <c r="A105" s="28" t="s">
        <v>506</v>
      </c>
      <c r="B105" s="29">
        <v>46092</v>
      </c>
      <c r="C105" s="30" t="s">
        <v>459</v>
      </c>
      <c r="D105" s="28" t="s">
        <v>142</v>
      </c>
      <c r="E105" s="28" t="s">
        <v>241</v>
      </c>
      <c r="F105" s="28" t="s">
        <v>437</v>
      </c>
      <c r="G105" s="28" t="str">
        <f t="shared" si="36"/>
        <v>LATE</v>
      </c>
      <c r="H105" s="31">
        <f t="shared" si="25"/>
        <v>0.27500000000000002</v>
      </c>
      <c r="I105" s="27" t="str">
        <f t="shared" si="37"/>
        <v>NO OT</v>
      </c>
    </row>
    <row r="106" spans="1:9" x14ac:dyDescent="0.25">
      <c r="A106" s="28" t="s">
        <v>506</v>
      </c>
      <c r="B106" s="29">
        <v>46093</v>
      </c>
      <c r="C106" s="30" t="s">
        <v>460</v>
      </c>
      <c r="D106" s="28" t="s">
        <v>511</v>
      </c>
      <c r="E106" s="28" t="s">
        <v>512</v>
      </c>
      <c r="F106" s="28" t="s">
        <v>237</v>
      </c>
      <c r="G106" s="28" t="str">
        <f t="shared" si="36"/>
        <v>LATE</v>
      </c>
      <c r="H106" s="31">
        <f t="shared" si="25"/>
        <v>0.29166666666666663</v>
      </c>
      <c r="I106" s="27" t="str">
        <f t="shared" si="37"/>
        <v>NO OT</v>
      </c>
    </row>
    <row r="107" spans="1:9" x14ac:dyDescent="0.25">
      <c r="A107" s="28" t="s">
        <v>506</v>
      </c>
      <c r="B107" s="29">
        <v>46094</v>
      </c>
      <c r="C107" s="30" t="s">
        <v>461</v>
      </c>
      <c r="D107" s="28" t="s">
        <v>27</v>
      </c>
      <c r="E107" s="28" t="s">
        <v>187</v>
      </c>
      <c r="F107" s="28" t="s">
        <v>513</v>
      </c>
      <c r="G107" s="28" t="str">
        <f t="shared" si="36"/>
        <v>LATE</v>
      </c>
      <c r="H107" s="31">
        <f t="shared" si="25"/>
        <v>-4.0972222222222222E-2</v>
      </c>
      <c r="I107" s="27" t="str">
        <f t="shared" si="37"/>
        <v>NO OT</v>
      </c>
    </row>
    <row r="108" spans="1:9" x14ac:dyDescent="0.25">
      <c r="A108" s="28" t="s">
        <v>506</v>
      </c>
      <c r="B108" s="29">
        <v>46095</v>
      </c>
      <c r="C108" s="30" t="s">
        <v>463</v>
      </c>
      <c r="D108" s="28" t="s">
        <v>12</v>
      </c>
      <c r="E108" s="28" t="s">
        <v>12</v>
      </c>
      <c r="F108" s="28" t="s">
        <v>12</v>
      </c>
      <c r="G108" s="60" t="str">
        <f t="shared" si="36"/>
        <v>ABSENT</v>
      </c>
      <c r="H108" s="61"/>
      <c r="I108" s="62"/>
    </row>
    <row r="109" spans="1:9" x14ac:dyDescent="0.25">
      <c r="A109" s="28" t="s">
        <v>506</v>
      </c>
      <c r="B109" s="29">
        <v>46096</v>
      </c>
      <c r="C109" s="60" t="s">
        <v>456</v>
      </c>
      <c r="D109" s="61"/>
      <c r="E109" s="61"/>
      <c r="F109" s="61"/>
      <c r="G109" s="61"/>
      <c r="H109" s="61"/>
      <c r="I109" s="62"/>
    </row>
    <row r="110" spans="1:9" x14ac:dyDescent="0.25">
      <c r="A110" s="28" t="s">
        <v>506</v>
      </c>
      <c r="B110" s="29">
        <v>46097</v>
      </c>
      <c r="C110" s="30" t="s">
        <v>457</v>
      </c>
      <c r="D110" s="28" t="s">
        <v>322</v>
      </c>
      <c r="E110" s="28" t="s">
        <v>425</v>
      </c>
      <c r="F110" s="28" t="s">
        <v>382</v>
      </c>
      <c r="G110" s="28" t="str">
        <f t="shared" ref="G110:G114" si="38">IF(C110="Sunday", "SUNDAY", IF(OR(D110=0, D110="", D110="0:0"), "ABSENT", IF(MOD(D110,1) &gt; TIME(9,45,0), "LATE", "OK")))</f>
        <v>LATE</v>
      </c>
      <c r="H110" s="31">
        <f t="shared" si="25"/>
        <v>0.29375000000000001</v>
      </c>
      <c r="I110" s="27" t="str">
        <f t="shared" ref="I110:I114" si="39">IF(VALUE(E110) &gt; TIME(19,0,0), TEXT(VALUE(E110) - TIME(19,0,0), "hh:mm"), "NO OT")</f>
        <v>NO OT</v>
      </c>
    </row>
    <row r="111" spans="1:9" x14ac:dyDescent="0.25">
      <c r="A111" s="28" t="s">
        <v>506</v>
      </c>
      <c r="B111" s="29">
        <v>46098</v>
      </c>
      <c r="C111" s="30" t="s">
        <v>458</v>
      </c>
      <c r="D111" s="28" t="s">
        <v>332</v>
      </c>
      <c r="E111" s="28" t="s">
        <v>225</v>
      </c>
      <c r="F111" s="28" t="s">
        <v>362</v>
      </c>
      <c r="G111" s="28" t="str">
        <f t="shared" si="38"/>
        <v>LATE</v>
      </c>
      <c r="H111" s="31">
        <f t="shared" si="25"/>
        <v>0.30833333333333324</v>
      </c>
      <c r="I111" s="27" t="str">
        <f t="shared" si="39"/>
        <v>NO OT</v>
      </c>
    </row>
    <row r="112" spans="1:9" x14ac:dyDescent="0.25">
      <c r="A112" s="28" t="s">
        <v>506</v>
      </c>
      <c r="B112" s="29">
        <v>46099</v>
      </c>
      <c r="C112" s="30" t="s">
        <v>459</v>
      </c>
      <c r="D112" s="28" t="s">
        <v>54</v>
      </c>
      <c r="E112" s="28" t="s">
        <v>464</v>
      </c>
      <c r="F112" s="28" t="s">
        <v>470</v>
      </c>
      <c r="G112" s="28" t="str">
        <f t="shared" si="38"/>
        <v>LATE</v>
      </c>
      <c r="H112" s="31">
        <f t="shared" si="25"/>
        <v>0.27569444444444435</v>
      </c>
      <c r="I112" s="27" t="str">
        <f t="shared" si="39"/>
        <v>NO OT</v>
      </c>
    </row>
    <row r="113" spans="1:9" x14ac:dyDescent="0.25">
      <c r="A113" s="28" t="s">
        <v>506</v>
      </c>
      <c r="B113" s="29">
        <v>46100</v>
      </c>
      <c r="C113" s="30" t="s">
        <v>460</v>
      </c>
      <c r="D113" s="28" t="s">
        <v>12</v>
      </c>
      <c r="E113" s="28" t="s">
        <v>12</v>
      </c>
      <c r="F113" s="28" t="s">
        <v>12</v>
      </c>
      <c r="G113" s="60" t="str">
        <f t="shared" si="38"/>
        <v>ABSENT</v>
      </c>
      <c r="H113" s="61"/>
      <c r="I113" s="62"/>
    </row>
    <row r="114" spans="1:9" x14ac:dyDescent="0.25">
      <c r="A114" s="28" t="s">
        <v>506</v>
      </c>
      <c r="B114" s="29">
        <v>46101</v>
      </c>
      <c r="C114" s="30" t="s">
        <v>461</v>
      </c>
      <c r="D114" s="28" t="s">
        <v>514</v>
      </c>
      <c r="E114" s="28" t="s">
        <v>438</v>
      </c>
      <c r="F114" s="28" t="s">
        <v>231</v>
      </c>
      <c r="G114" s="28" t="str">
        <f t="shared" si="38"/>
        <v>LATE</v>
      </c>
      <c r="H114" s="31">
        <f t="shared" si="25"/>
        <v>0.27986111111111112</v>
      </c>
      <c r="I114" s="27" t="str">
        <f t="shared" si="39"/>
        <v>NO OT</v>
      </c>
    </row>
    <row r="115" spans="1:9" x14ac:dyDescent="0.25">
      <c r="A115" s="28" t="s">
        <v>506</v>
      </c>
      <c r="B115" s="29">
        <v>46102</v>
      </c>
      <c r="C115" s="30" t="s">
        <v>463</v>
      </c>
      <c r="D115" s="28" t="s">
        <v>12</v>
      </c>
      <c r="E115" s="28" t="s">
        <v>12</v>
      </c>
      <c r="F115" s="28" t="s">
        <v>12</v>
      </c>
      <c r="G115" s="60" t="s">
        <v>592</v>
      </c>
      <c r="H115" s="61"/>
      <c r="I115" s="62"/>
    </row>
    <row r="116" spans="1:9" x14ac:dyDescent="0.25">
      <c r="A116" s="28" t="s">
        <v>506</v>
      </c>
      <c r="B116" s="29">
        <v>46103</v>
      </c>
      <c r="C116" s="60" t="s">
        <v>456</v>
      </c>
      <c r="D116" s="61"/>
      <c r="E116" s="61"/>
      <c r="F116" s="61"/>
      <c r="G116" s="61"/>
      <c r="H116" s="61"/>
      <c r="I116" s="62"/>
    </row>
    <row r="117" spans="1:9" x14ac:dyDescent="0.25">
      <c r="A117" s="28" t="s">
        <v>506</v>
      </c>
      <c r="B117" s="29">
        <v>46104</v>
      </c>
      <c r="C117" s="30" t="s">
        <v>457</v>
      </c>
      <c r="D117" s="28" t="s">
        <v>332</v>
      </c>
      <c r="E117" s="28" t="s">
        <v>265</v>
      </c>
      <c r="F117" s="28" t="s">
        <v>515</v>
      </c>
      <c r="G117" s="28" t="str">
        <f t="shared" ref="G117:G122" si="40">IF(C117="Sunday", "SUNDAY", IF(OR(D117=0, D117="", D117="0:0"), "ABSENT", IF(MOD(D117,1) &gt; TIME(9,45,0), "LATE", "OK")))</f>
        <v>LATE</v>
      </c>
      <c r="H117" s="31">
        <f t="shared" si="25"/>
        <v>0.25138888888888888</v>
      </c>
      <c r="I117" s="27" t="str">
        <f t="shared" ref="I117:I122" si="41">IF(VALUE(E117) &gt; TIME(19,0,0), TEXT(VALUE(E117) - TIME(19,0,0), "hh:mm"), "NO OT")</f>
        <v>NO OT</v>
      </c>
    </row>
    <row r="118" spans="1:9" x14ac:dyDescent="0.25">
      <c r="A118" s="28" t="s">
        <v>506</v>
      </c>
      <c r="B118" s="29">
        <v>46105</v>
      </c>
      <c r="C118" s="30" t="s">
        <v>458</v>
      </c>
      <c r="D118" s="28" t="s">
        <v>161</v>
      </c>
      <c r="E118" s="28" t="s">
        <v>516</v>
      </c>
      <c r="F118" s="28" t="s">
        <v>517</v>
      </c>
      <c r="G118" s="28" t="str">
        <f t="shared" si="40"/>
        <v>LATE</v>
      </c>
      <c r="H118" s="31">
        <f t="shared" si="25"/>
        <v>0.20486111111111108</v>
      </c>
      <c r="I118" s="27" t="str">
        <f t="shared" si="41"/>
        <v>NO OT</v>
      </c>
    </row>
    <row r="119" spans="1:9" x14ac:dyDescent="0.25">
      <c r="A119" s="28" t="s">
        <v>506</v>
      </c>
      <c r="B119" s="29">
        <v>46106</v>
      </c>
      <c r="C119" s="30" t="s">
        <v>459</v>
      </c>
      <c r="D119" s="28" t="s">
        <v>12</v>
      </c>
      <c r="E119" s="28" t="s">
        <v>12</v>
      </c>
      <c r="F119" s="28" t="s">
        <v>12</v>
      </c>
      <c r="G119" s="60" t="str">
        <f t="shared" si="40"/>
        <v>ABSENT</v>
      </c>
      <c r="H119" s="61"/>
      <c r="I119" s="62"/>
    </row>
    <row r="120" spans="1:9" x14ac:dyDescent="0.25">
      <c r="A120" s="28" t="s">
        <v>506</v>
      </c>
      <c r="B120" s="29">
        <v>46107</v>
      </c>
      <c r="C120" s="30" t="s">
        <v>460</v>
      </c>
      <c r="D120" s="28" t="s">
        <v>514</v>
      </c>
      <c r="E120" s="28" t="s">
        <v>292</v>
      </c>
      <c r="F120" s="28" t="s">
        <v>335</v>
      </c>
      <c r="G120" s="28" t="str">
        <f t="shared" si="40"/>
        <v>LATE</v>
      </c>
      <c r="H120" s="31">
        <f t="shared" si="25"/>
        <v>0.31180555555555556</v>
      </c>
      <c r="I120" s="27" t="str">
        <f t="shared" si="41"/>
        <v>NO OT</v>
      </c>
    </row>
    <row r="121" spans="1:9" x14ac:dyDescent="0.25">
      <c r="A121" s="28" t="s">
        <v>506</v>
      </c>
      <c r="B121" s="29">
        <v>46108</v>
      </c>
      <c r="C121" s="30" t="s">
        <v>461</v>
      </c>
      <c r="D121" s="28" t="s">
        <v>332</v>
      </c>
      <c r="E121" s="28" t="s">
        <v>212</v>
      </c>
      <c r="F121" s="28" t="s">
        <v>352</v>
      </c>
      <c r="G121" s="28" t="str">
        <f t="shared" si="40"/>
        <v>LATE</v>
      </c>
      <c r="H121" s="31">
        <f t="shared" si="25"/>
        <v>0.31458333333333333</v>
      </c>
      <c r="I121" s="27" t="str">
        <f t="shared" si="41"/>
        <v>NO OT</v>
      </c>
    </row>
    <row r="122" spans="1:9" x14ac:dyDescent="0.25">
      <c r="A122" s="28" t="s">
        <v>506</v>
      </c>
      <c r="B122" s="29">
        <v>46109</v>
      </c>
      <c r="C122" s="30" t="s">
        <v>463</v>
      </c>
      <c r="D122" s="28" t="s">
        <v>330</v>
      </c>
      <c r="E122" s="28" t="s">
        <v>303</v>
      </c>
      <c r="F122" s="28" t="s">
        <v>198</v>
      </c>
      <c r="G122" s="28" t="str">
        <f t="shared" si="40"/>
        <v>LATE</v>
      </c>
      <c r="H122" s="31">
        <f t="shared" si="25"/>
        <v>0.30902777777777779</v>
      </c>
      <c r="I122" s="27" t="str">
        <f t="shared" si="41"/>
        <v>NO OT</v>
      </c>
    </row>
    <row r="123" spans="1:9" x14ac:dyDescent="0.25">
      <c r="A123" s="28" t="s">
        <v>506</v>
      </c>
      <c r="B123" s="29">
        <v>46110</v>
      </c>
      <c r="C123" s="60" t="s">
        <v>456</v>
      </c>
      <c r="D123" s="61"/>
      <c r="E123" s="61"/>
      <c r="F123" s="61"/>
      <c r="G123" s="61"/>
      <c r="H123" s="61"/>
      <c r="I123" s="62"/>
    </row>
    <row r="124" spans="1:9" x14ac:dyDescent="0.25">
      <c r="A124" s="28" t="s">
        <v>506</v>
      </c>
      <c r="B124" s="29">
        <v>46111</v>
      </c>
      <c r="C124" s="30" t="s">
        <v>457</v>
      </c>
      <c r="D124" s="28" t="s">
        <v>100</v>
      </c>
      <c r="E124" s="28" t="s">
        <v>197</v>
      </c>
      <c r="F124" s="28" t="s">
        <v>518</v>
      </c>
      <c r="G124" s="28" t="str">
        <f t="shared" ref="G124:G125" si="42">IF(C124="Sunday", "SUNDAY", IF(OR(D124=0, D124="", D124="0:0"), "ABSENT", IF(MOD(D124,1) &gt; TIME(9,45,0), "LATE", "OK")))</f>
        <v>LATE</v>
      </c>
      <c r="H124" s="31">
        <f t="shared" si="25"/>
        <v>0.31041666666666667</v>
      </c>
      <c r="I124" s="27" t="str">
        <f t="shared" ref="I124:I125" si="43">IF(VALUE(E124) &gt; TIME(19,0,0), TEXT(VALUE(E124) - TIME(19,0,0), "hh:mm"), "NO OT")</f>
        <v>NO OT</v>
      </c>
    </row>
    <row r="125" spans="1:9" x14ac:dyDescent="0.25">
      <c r="A125" s="28" t="s">
        <v>506</v>
      </c>
      <c r="B125" s="29">
        <v>46112</v>
      </c>
      <c r="C125" s="30" t="s">
        <v>458</v>
      </c>
      <c r="D125" s="28" t="s">
        <v>229</v>
      </c>
      <c r="E125" s="28" t="s">
        <v>220</v>
      </c>
      <c r="F125" s="28" t="s">
        <v>218</v>
      </c>
      <c r="G125" s="28" t="str">
        <f t="shared" si="42"/>
        <v>LATE</v>
      </c>
      <c r="H125" s="31">
        <f t="shared" si="25"/>
        <v>0.32430555555555557</v>
      </c>
      <c r="I125" s="27" t="str">
        <f t="shared" si="43"/>
        <v>NO OT</v>
      </c>
    </row>
    <row r="126" spans="1:9" x14ac:dyDescent="0.25">
      <c r="A126" s="28" t="s">
        <v>109</v>
      </c>
      <c r="B126" s="29">
        <v>46082</v>
      </c>
      <c r="C126" s="60" t="s">
        <v>456</v>
      </c>
      <c r="D126" s="61"/>
      <c r="E126" s="61"/>
      <c r="F126" s="61"/>
      <c r="G126" s="61"/>
      <c r="H126" s="61"/>
      <c r="I126" s="62"/>
    </row>
    <row r="127" spans="1:9" x14ac:dyDescent="0.25">
      <c r="A127" s="28" t="s">
        <v>109</v>
      </c>
      <c r="B127" s="29">
        <v>46083</v>
      </c>
      <c r="C127" s="30" t="s">
        <v>457</v>
      </c>
      <c r="D127" s="28" t="s">
        <v>256</v>
      </c>
      <c r="E127" s="28" t="s">
        <v>195</v>
      </c>
      <c r="F127" s="28" t="s">
        <v>427</v>
      </c>
      <c r="G127" s="28" t="str">
        <f t="shared" ref="G127:G132" si="44">IF(C127="Sunday", "SUNDAY", IF(OR(D127=0, D127="", D127="0:0"), "ABSENT", IF(MOD(D127,1) &gt; TIME(9,45,0), "LATE", "OK")))</f>
        <v>OK</v>
      </c>
      <c r="H127" s="31">
        <f t="shared" si="25"/>
        <v>0.28055555555555556</v>
      </c>
      <c r="I127" s="27" t="str">
        <f t="shared" ref="I127:I132" si="45">IF(VALUE(E127) &gt; TIME(19,0,0), TEXT(VALUE(E127) - TIME(19,0,0), "hh:mm"), "NO OT")</f>
        <v>NO OT</v>
      </c>
    </row>
    <row r="128" spans="1:9" x14ac:dyDescent="0.25">
      <c r="A128" s="28" t="s">
        <v>109</v>
      </c>
      <c r="B128" s="29">
        <v>46084</v>
      </c>
      <c r="C128" s="30" t="s">
        <v>458</v>
      </c>
      <c r="D128" s="28" t="s">
        <v>224</v>
      </c>
      <c r="E128" s="28" t="s">
        <v>512</v>
      </c>
      <c r="F128" s="28" t="s">
        <v>451</v>
      </c>
      <c r="G128" s="28" t="str">
        <f t="shared" si="44"/>
        <v>LATE</v>
      </c>
      <c r="H128" s="31">
        <f t="shared" si="25"/>
        <v>0.30416666666666664</v>
      </c>
      <c r="I128" s="27" t="str">
        <f t="shared" si="45"/>
        <v>NO OT</v>
      </c>
    </row>
    <row r="129" spans="1:9" x14ac:dyDescent="0.25">
      <c r="A129" s="28" t="s">
        <v>109</v>
      </c>
      <c r="B129" s="29">
        <v>46085</v>
      </c>
      <c r="C129" s="30" t="s">
        <v>459</v>
      </c>
      <c r="D129" s="28" t="s">
        <v>12</v>
      </c>
      <c r="E129" s="28" t="s">
        <v>12</v>
      </c>
      <c r="F129" s="28" t="s">
        <v>12</v>
      </c>
      <c r="G129" s="60" t="s">
        <v>594</v>
      </c>
      <c r="H129" s="61"/>
      <c r="I129" s="62"/>
    </row>
    <row r="130" spans="1:9" x14ac:dyDescent="0.25">
      <c r="A130" s="28" t="s">
        <v>109</v>
      </c>
      <c r="B130" s="29">
        <v>46086</v>
      </c>
      <c r="C130" s="30" t="s">
        <v>460</v>
      </c>
      <c r="D130" s="28" t="s">
        <v>54</v>
      </c>
      <c r="E130" s="28" t="s">
        <v>519</v>
      </c>
      <c r="F130" s="28" t="s">
        <v>391</v>
      </c>
      <c r="G130" s="28" t="str">
        <f t="shared" si="44"/>
        <v>LATE</v>
      </c>
      <c r="H130" s="31">
        <f t="shared" si="25"/>
        <v>0.28680555555555554</v>
      </c>
      <c r="I130" s="27" t="str">
        <f t="shared" si="45"/>
        <v>NO OT</v>
      </c>
    </row>
    <row r="131" spans="1:9" x14ac:dyDescent="0.25">
      <c r="A131" s="28" t="s">
        <v>109</v>
      </c>
      <c r="B131" s="29">
        <v>46087</v>
      </c>
      <c r="C131" s="30" t="s">
        <v>461</v>
      </c>
      <c r="D131" s="28" t="s">
        <v>298</v>
      </c>
      <c r="E131" s="28" t="s">
        <v>214</v>
      </c>
      <c r="F131" s="28" t="s">
        <v>520</v>
      </c>
      <c r="G131" s="28" t="str">
        <f t="shared" si="44"/>
        <v>OK</v>
      </c>
      <c r="H131" s="31">
        <f t="shared" si="25"/>
        <v>0.34513888888888894</v>
      </c>
      <c r="I131" s="27" t="str">
        <f t="shared" si="45"/>
        <v>NO OT</v>
      </c>
    </row>
    <row r="132" spans="1:9" x14ac:dyDescent="0.25">
      <c r="A132" s="28" t="s">
        <v>109</v>
      </c>
      <c r="B132" s="29">
        <v>46088</v>
      </c>
      <c r="C132" s="30" t="s">
        <v>463</v>
      </c>
      <c r="D132" s="28" t="s">
        <v>371</v>
      </c>
      <c r="E132" s="28" t="s">
        <v>521</v>
      </c>
      <c r="F132" s="28" t="s">
        <v>518</v>
      </c>
      <c r="G132" s="28" t="str">
        <f t="shared" si="44"/>
        <v>OK</v>
      </c>
      <c r="H132" s="31">
        <f t="shared" ref="H132:H194" si="46">IF(OR(D132=0, D132="", E132=0, E132=""), 0, (E132-D132)-TIME(1,0,0))</f>
        <v>0.31041666666666667</v>
      </c>
      <c r="I132" s="27" t="str">
        <f t="shared" si="45"/>
        <v>NO OT</v>
      </c>
    </row>
    <row r="133" spans="1:9" x14ac:dyDescent="0.25">
      <c r="A133" s="28" t="s">
        <v>109</v>
      </c>
      <c r="B133" s="29">
        <v>46089</v>
      </c>
      <c r="C133" s="60" t="s">
        <v>456</v>
      </c>
      <c r="D133" s="61"/>
      <c r="E133" s="61"/>
      <c r="F133" s="61"/>
      <c r="G133" s="61"/>
      <c r="H133" s="61"/>
      <c r="I133" s="62"/>
    </row>
    <row r="134" spans="1:9" x14ac:dyDescent="0.25">
      <c r="A134" s="28" t="s">
        <v>109</v>
      </c>
      <c r="B134" s="29">
        <v>46090</v>
      </c>
      <c r="C134" s="30" t="s">
        <v>457</v>
      </c>
      <c r="D134" s="28" t="s">
        <v>206</v>
      </c>
      <c r="E134" s="28" t="s">
        <v>267</v>
      </c>
      <c r="F134" s="28" t="s">
        <v>268</v>
      </c>
      <c r="G134" s="28" t="str">
        <f t="shared" ref="G134:G139" si="47">IF(C134="Sunday", "SUNDAY", IF(OR(D134=0, D134="", D134="0:0"), "ABSENT", IF(MOD(D134,1) &gt; TIME(9,45,0), "LATE", "OK")))</f>
        <v>OK</v>
      </c>
      <c r="H134" s="31">
        <f t="shared" si="46"/>
        <v>0.32013888888888892</v>
      </c>
      <c r="I134" s="27" t="str">
        <f t="shared" ref="I134:I139" si="48">IF(VALUE(E134) &gt; TIME(19,0,0), TEXT(VALUE(E134) - TIME(19,0,0), "hh:mm"), "NO OT")</f>
        <v>NO OT</v>
      </c>
    </row>
    <row r="135" spans="1:9" x14ac:dyDescent="0.25">
      <c r="A135" s="28" t="s">
        <v>109</v>
      </c>
      <c r="B135" s="29">
        <v>46091</v>
      </c>
      <c r="C135" s="30" t="s">
        <v>458</v>
      </c>
      <c r="D135" s="28" t="s">
        <v>211</v>
      </c>
      <c r="E135" s="28" t="s">
        <v>292</v>
      </c>
      <c r="F135" s="28" t="s">
        <v>347</v>
      </c>
      <c r="G135" s="28" t="str">
        <f t="shared" si="47"/>
        <v>OK</v>
      </c>
      <c r="H135" s="31">
        <f t="shared" si="46"/>
        <v>0.32777777777777778</v>
      </c>
      <c r="I135" s="27" t="str">
        <f t="shared" si="48"/>
        <v>NO OT</v>
      </c>
    </row>
    <row r="136" spans="1:9" x14ac:dyDescent="0.25">
      <c r="A136" s="28" t="s">
        <v>109</v>
      </c>
      <c r="B136" s="29">
        <v>46092</v>
      </c>
      <c r="C136" s="30" t="s">
        <v>459</v>
      </c>
      <c r="D136" s="28" t="s">
        <v>260</v>
      </c>
      <c r="E136" s="28" t="s">
        <v>236</v>
      </c>
      <c r="F136" s="28" t="s">
        <v>386</v>
      </c>
      <c r="G136" s="28" t="str">
        <f t="shared" si="47"/>
        <v>OK</v>
      </c>
      <c r="H136" s="31">
        <f t="shared" si="46"/>
        <v>0.30625000000000002</v>
      </c>
      <c r="I136" s="27" t="str">
        <f t="shared" si="48"/>
        <v>NO OT</v>
      </c>
    </row>
    <row r="137" spans="1:9" x14ac:dyDescent="0.25">
      <c r="A137" s="28" t="s">
        <v>109</v>
      </c>
      <c r="B137" s="29">
        <v>46093</v>
      </c>
      <c r="C137" s="30" t="s">
        <v>460</v>
      </c>
      <c r="D137" s="28" t="s">
        <v>269</v>
      </c>
      <c r="E137" s="28" t="s">
        <v>225</v>
      </c>
      <c r="F137" s="28" t="s">
        <v>218</v>
      </c>
      <c r="G137" s="28" t="str">
        <f t="shared" si="47"/>
        <v>OK</v>
      </c>
      <c r="H137" s="31">
        <f t="shared" si="46"/>
        <v>0.32430555555555546</v>
      </c>
      <c r="I137" s="27" t="str">
        <f t="shared" si="48"/>
        <v>NO OT</v>
      </c>
    </row>
    <row r="138" spans="1:9" x14ac:dyDescent="0.25">
      <c r="A138" s="28" t="s">
        <v>109</v>
      </c>
      <c r="B138" s="29">
        <v>46094</v>
      </c>
      <c r="C138" s="30" t="s">
        <v>461</v>
      </c>
      <c r="D138" s="28" t="s">
        <v>189</v>
      </c>
      <c r="E138" s="28" t="s">
        <v>522</v>
      </c>
      <c r="F138" s="28" t="s">
        <v>523</v>
      </c>
      <c r="G138" s="28" t="str">
        <f t="shared" si="47"/>
        <v>OK</v>
      </c>
      <c r="H138" s="31">
        <f t="shared" si="46"/>
        <v>0.35486111111111113</v>
      </c>
      <c r="I138" s="27" t="str">
        <f t="shared" si="48"/>
        <v>00:09</v>
      </c>
    </row>
    <row r="139" spans="1:9" x14ac:dyDescent="0.25">
      <c r="A139" s="28" t="s">
        <v>109</v>
      </c>
      <c r="B139" s="29">
        <v>46095</v>
      </c>
      <c r="C139" s="30" t="s">
        <v>463</v>
      </c>
      <c r="D139" s="28" t="s">
        <v>255</v>
      </c>
      <c r="E139" s="28" t="s">
        <v>519</v>
      </c>
      <c r="F139" s="28" t="s">
        <v>239</v>
      </c>
      <c r="G139" s="28" t="str">
        <f t="shared" si="47"/>
        <v>OK</v>
      </c>
      <c r="H139" s="31">
        <f t="shared" si="46"/>
        <v>0.2986111111111111</v>
      </c>
      <c r="I139" s="27" t="str">
        <f t="shared" si="48"/>
        <v>NO OT</v>
      </c>
    </row>
    <row r="140" spans="1:9" x14ac:dyDescent="0.25">
      <c r="A140" s="28" t="s">
        <v>109</v>
      </c>
      <c r="B140" s="29">
        <v>46096</v>
      </c>
      <c r="C140" s="60" t="s">
        <v>456</v>
      </c>
      <c r="D140" s="61"/>
      <c r="E140" s="61"/>
      <c r="F140" s="61"/>
      <c r="G140" s="61"/>
      <c r="H140" s="61"/>
      <c r="I140" s="62"/>
    </row>
    <row r="141" spans="1:9" x14ac:dyDescent="0.25">
      <c r="A141" s="28" t="s">
        <v>109</v>
      </c>
      <c r="B141" s="29">
        <v>46097</v>
      </c>
      <c r="C141" s="30" t="s">
        <v>457</v>
      </c>
      <c r="D141" s="28" t="s">
        <v>351</v>
      </c>
      <c r="E141" s="28" t="s">
        <v>524</v>
      </c>
      <c r="F141" s="28" t="s">
        <v>362</v>
      </c>
      <c r="G141" s="28" t="str">
        <f t="shared" ref="G141:G145" si="49">IF(C141="Sunday", "SUNDAY", IF(OR(D141=0, D141="", D141="0:0"), "ABSENT", IF(MOD(D141,1) &gt; TIME(9,45,0), "LATE", "OK")))</f>
        <v>OK</v>
      </c>
      <c r="H141" s="31">
        <f t="shared" si="46"/>
        <v>0.30833333333333329</v>
      </c>
      <c r="I141" s="27" t="str">
        <f t="shared" ref="I141:I145" si="50">IF(VALUE(E141) &gt; TIME(19,0,0), TEXT(VALUE(E141) - TIME(19,0,0), "hh:mm"), "NO OT")</f>
        <v>NO OT</v>
      </c>
    </row>
    <row r="142" spans="1:9" x14ac:dyDescent="0.25">
      <c r="A142" s="28" t="s">
        <v>109</v>
      </c>
      <c r="B142" s="29">
        <v>46098</v>
      </c>
      <c r="C142" s="30" t="s">
        <v>458</v>
      </c>
      <c r="D142" s="28" t="s">
        <v>330</v>
      </c>
      <c r="E142" s="28" t="s">
        <v>203</v>
      </c>
      <c r="F142" s="28" t="s">
        <v>271</v>
      </c>
      <c r="G142" s="28" t="str">
        <f t="shared" si="49"/>
        <v>LATE</v>
      </c>
      <c r="H142" s="31">
        <f t="shared" si="46"/>
        <v>0.3208333333333333</v>
      </c>
      <c r="I142" s="27" t="str">
        <f t="shared" si="50"/>
        <v>NO OT</v>
      </c>
    </row>
    <row r="143" spans="1:9" x14ac:dyDescent="0.25">
      <c r="A143" s="28" t="s">
        <v>109</v>
      </c>
      <c r="B143" s="29">
        <v>46099</v>
      </c>
      <c r="C143" s="30" t="s">
        <v>459</v>
      </c>
      <c r="D143" s="28" t="s">
        <v>189</v>
      </c>
      <c r="E143" s="28" t="s">
        <v>525</v>
      </c>
      <c r="F143" s="28" t="s">
        <v>338</v>
      </c>
      <c r="G143" s="28" t="str">
        <f t="shared" si="49"/>
        <v>OK</v>
      </c>
      <c r="H143" s="31">
        <f t="shared" si="46"/>
        <v>0.3</v>
      </c>
      <c r="I143" s="27" t="str">
        <f t="shared" si="50"/>
        <v>NO OT</v>
      </c>
    </row>
    <row r="144" spans="1:9" x14ac:dyDescent="0.25">
      <c r="A144" s="28" t="s">
        <v>109</v>
      </c>
      <c r="B144" s="29">
        <v>46100</v>
      </c>
      <c r="C144" s="30" t="s">
        <v>460</v>
      </c>
      <c r="D144" s="28" t="s">
        <v>219</v>
      </c>
      <c r="E144" s="28" t="s">
        <v>434</v>
      </c>
      <c r="F144" s="28" t="s">
        <v>526</v>
      </c>
      <c r="G144" s="28" t="str">
        <f t="shared" si="49"/>
        <v>OK</v>
      </c>
      <c r="H144" s="31">
        <f t="shared" si="46"/>
        <v>0.30208333333333331</v>
      </c>
      <c r="I144" s="27" t="str">
        <f t="shared" si="50"/>
        <v>NO OT</v>
      </c>
    </row>
    <row r="145" spans="1:9" x14ac:dyDescent="0.25">
      <c r="A145" s="28" t="s">
        <v>109</v>
      </c>
      <c r="B145" s="29">
        <v>46101</v>
      </c>
      <c r="C145" s="30" t="s">
        <v>461</v>
      </c>
      <c r="D145" s="28" t="s">
        <v>272</v>
      </c>
      <c r="E145" s="28" t="s">
        <v>377</v>
      </c>
      <c r="F145" s="28" t="s">
        <v>338</v>
      </c>
      <c r="G145" s="28" t="str">
        <f t="shared" si="49"/>
        <v>OK</v>
      </c>
      <c r="H145" s="31">
        <f t="shared" si="46"/>
        <v>0.30000000000000004</v>
      </c>
      <c r="I145" s="27" t="str">
        <f t="shared" si="50"/>
        <v>NO OT</v>
      </c>
    </row>
    <row r="146" spans="1:9" x14ac:dyDescent="0.25">
      <c r="A146" s="28" t="s">
        <v>109</v>
      </c>
      <c r="B146" s="29">
        <v>46102</v>
      </c>
      <c r="C146" s="30" t="s">
        <v>463</v>
      </c>
      <c r="D146" s="28" t="s">
        <v>12</v>
      </c>
      <c r="E146" s="28" t="s">
        <v>12</v>
      </c>
      <c r="F146" s="28" t="s">
        <v>12</v>
      </c>
      <c r="G146" s="60" t="s">
        <v>592</v>
      </c>
      <c r="H146" s="61"/>
      <c r="I146" s="62"/>
    </row>
    <row r="147" spans="1:9" x14ac:dyDescent="0.25">
      <c r="A147" s="28" t="s">
        <v>109</v>
      </c>
      <c r="B147" s="29">
        <v>46103</v>
      </c>
      <c r="C147" s="60" t="s">
        <v>456</v>
      </c>
      <c r="D147" s="61"/>
      <c r="E147" s="61"/>
      <c r="F147" s="61"/>
      <c r="G147" s="61"/>
      <c r="H147" s="61"/>
      <c r="I147" s="62"/>
    </row>
    <row r="148" spans="1:9" x14ac:dyDescent="0.25">
      <c r="A148" s="28" t="s">
        <v>109</v>
      </c>
      <c r="B148" s="29">
        <v>46104</v>
      </c>
      <c r="C148" s="30" t="s">
        <v>457</v>
      </c>
      <c r="D148" s="28" t="s">
        <v>12</v>
      </c>
      <c r="E148" s="28" t="s">
        <v>12</v>
      </c>
      <c r="F148" s="28" t="s">
        <v>12</v>
      </c>
      <c r="G148" s="60" t="s">
        <v>593</v>
      </c>
      <c r="H148" s="61"/>
      <c r="I148" s="62"/>
    </row>
    <row r="149" spans="1:9" x14ac:dyDescent="0.25">
      <c r="A149" s="28" t="s">
        <v>109</v>
      </c>
      <c r="B149" s="29">
        <v>46105</v>
      </c>
      <c r="C149" s="30" t="s">
        <v>458</v>
      </c>
      <c r="D149" s="28" t="s">
        <v>285</v>
      </c>
      <c r="E149" s="28" t="s">
        <v>333</v>
      </c>
      <c r="F149" s="28" t="s">
        <v>327</v>
      </c>
      <c r="G149" s="28" t="str">
        <f t="shared" ref="G149:G153" si="51">IF(C149="Sunday", "SUNDAY", IF(OR(D149=0, D149="", D149="0:0"), "ABSENT", IF(MOD(D149,1) &gt; TIME(9,45,0), "LATE", "OK")))</f>
        <v>LATE</v>
      </c>
      <c r="H149" s="31">
        <f t="shared" si="46"/>
        <v>0.32222222222222224</v>
      </c>
      <c r="I149" s="27" t="str">
        <f t="shared" ref="I149:I153" si="52">IF(VALUE(E149) &gt; TIME(19,0,0), TEXT(VALUE(E149) - TIME(19,0,0), "hh:mm"), "NO OT")</f>
        <v>NO OT</v>
      </c>
    </row>
    <row r="150" spans="1:9" x14ac:dyDescent="0.25">
      <c r="A150" s="28" t="s">
        <v>109</v>
      </c>
      <c r="B150" s="29">
        <v>46106</v>
      </c>
      <c r="C150" s="30" t="s">
        <v>459</v>
      </c>
      <c r="D150" s="28" t="s">
        <v>219</v>
      </c>
      <c r="E150" s="28" t="s">
        <v>254</v>
      </c>
      <c r="F150" s="28" t="s">
        <v>210</v>
      </c>
      <c r="G150" s="28" t="str">
        <f t="shared" si="51"/>
        <v>OK</v>
      </c>
      <c r="H150" s="31">
        <f t="shared" si="46"/>
        <v>0.33263888888888887</v>
      </c>
      <c r="I150" s="27" t="str">
        <f t="shared" si="52"/>
        <v>NO OT</v>
      </c>
    </row>
    <row r="151" spans="1:9" x14ac:dyDescent="0.25">
      <c r="A151" s="28" t="s">
        <v>109</v>
      </c>
      <c r="B151" s="29">
        <v>46107</v>
      </c>
      <c r="C151" s="30" t="s">
        <v>460</v>
      </c>
      <c r="D151" s="28" t="s">
        <v>322</v>
      </c>
      <c r="E151" s="28" t="s">
        <v>527</v>
      </c>
      <c r="F151" s="28" t="s">
        <v>528</v>
      </c>
      <c r="G151" s="28" t="str">
        <f t="shared" si="51"/>
        <v>LATE</v>
      </c>
      <c r="H151" s="31">
        <f t="shared" si="46"/>
        <v>0.41250000000000003</v>
      </c>
      <c r="I151" s="27" t="str">
        <f t="shared" si="52"/>
        <v>01:48</v>
      </c>
    </row>
    <row r="152" spans="1:9" x14ac:dyDescent="0.25">
      <c r="A152" s="28" t="s">
        <v>109</v>
      </c>
      <c r="B152" s="29">
        <v>46108</v>
      </c>
      <c r="C152" s="30" t="s">
        <v>461</v>
      </c>
      <c r="D152" s="28" t="s">
        <v>269</v>
      </c>
      <c r="E152" s="28" t="s">
        <v>333</v>
      </c>
      <c r="F152" s="28" t="s">
        <v>257</v>
      </c>
      <c r="G152" s="28" t="str">
        <f t="shared" si="51"/>
        <v>OK</v>
      </c>
      <c r="H152" s="31">
        <f t="shared" si="46"/>
        <v>0.3298611111111111</v>
      </c>
      <c r="I152" s="27" t="str">
        <f t="shared" si="52"/>
        <v>NO OT</v>
      </c>
    </row>
    <row r="153" spans="1:9" x14ac:dyDescent="0.25">
      <c r="A153" s="28" t="s">
        <v>109</v>
      </c>
      <c r="B153" s="29">
        <v>46109</v>
      </c>
      <c r="C153" s="30" t="s">
        <v>463</v>
      </c>
      <c r="D153" s="28" t="s">
        <v>192</v>
      </c>
      <c r="E153" s="28" t="s">
        <v>303</v>
      </c>
      <c r="F153" s="28" t="s">
        <v>497</v>
      </c>
      <c r="G153" s="28" t="str">
        <f t="shared" si="51"/>
        <v>LATE</v>
      </c>
      <c r="H153" s="31">
        <f t="shared" si="46"/>
        <v>0.31736111111111115</v>
      </c>
      <c r="I153" s="27" t="str">
        <f t="shared" si="52"/>
        <v>NO OT</v>
      </c>
    </row>
    <row r="154" spans="1:9" x14ac:dyDescent="0.25">
      <c r="A154" s="28" t="s">
        <v>109</v>
      </c>
      <c r="B154" s="29">
        <v>46110</v>
      </c>
      <c r="C154" s="60" t="s">
        <v>456</v>
      </c>
      <c r="D154" s="61"/>
      <c r="E154" s="61"/>
      <c r="F154" s="61"/>
      <c r="G154" s="61"/>
      <c r="H154" s="61"/>
      <c r="I154" s="62"/>
    </row>
    <row r="155" spans="1:9" x14ac:dyDescent="0.25">
      <c r="A155" s="28" t="s">
        <v>109</v>
      </c>
      <c r="B155" s="29">
        <v>46111</v>
      </c>
      <c r="C155" s="30" t="s">
        <v>457</v>
      </c>
      <c r="D155" s="28" t="s">
        <v>351</v>
      </c>
      <c r="E155" s="28" t="s">
        <v>12</v>
      </c>
      <c r="F155" s="28" t="s">
        <v>188</v>
      </c>
      <c r="G155" s="28" t="str">
        <f t="shared" ref="G155:G156" si="53">IF(C155="Sunday", "SUNDAY", IF(OR(D155=0, D155="", D155="0:0"), "ABSENT", IF(MOD(D155,1) &gt; TIME(9,45,0), "LATE", "OK")))</f>
        <v>OK</v>
      </c>
      <c r="H155" s="31">
        <f t="shared" si="46"/>
        <v>-0.44722222222222224</v>
      </c>
      <c r="I155" s="27" t="str">
        <f t="shared" ref="I155:I156" si="54">IF(VALUE(E155) &gt; TIME(19,0,0), TEXT(VALUE(E155) - TIME(19,0,0), "hh:mm"), "NO OT")</f>
        <v>NO OT</v>
      </c>
    </row>
    <row r="156" spans="1:9" x14ac:dyDescent="0.25">
      <c r="A156" s="28" t="s">
        <v>109</v>
      </c>
      <c r="B156" s="29">
        <v>46112</v>
      </c>
      <c r="C156" s="30" t="s">
        <v>458</v>
      </c>
      <c r="D156" s="28" t="s">
        <v>54</v>
      </c>
      <c r="E156" s="28" t="s">
        <v>12</v>
      </c>
      <c r="F156" s="28" t="s">
        <v>188</v>
      </c>
      <c r="G156" s="28" t="str">
        <f t="shared" si="53"/>
        <v>LATE</v>
      </c>
      <c r="H156" s="31">
        <f t="shared" si="46"/>
        <v>-0.45833333333333337</v>
      </c>
      <c r="I156" s="27" t="str">
        <f t="shared" si="54"/>
        <v>NO OT</v>
      </c>
    </row>
    <row r="157" spans="1:9" hidden="1" x14ac:dyDescent="0.25">
      <c r="A157" s="28" t="s">
        <v>110</v>
      </c>
      <c r="B157" s="29">
        <v>46082</v>
      </c>
      <c r="C157" s="60" t="s">
        <v>456</v>
      </c>
      <c r="D157" s="61"/>
      <c r="E157" s="61"/>
      <c r="F157" s="61"/>
      <c r="G157" s="61"/>
      <c r="H157" s="61"/>
      <c r="I157" s="62"/>
    </row>
    <row r="158" spans="1:9" hidden="1" x14ac:dyDescent="0.25">
      <c r="A158" s="28" t="s">
        <v>110</v>
      </c>
      <c r="B158" s="29">
        <v>46083</v>
      </c>
      <c r="C158" s="30" t="s">
        <v>457</v>
      </c>
      <c r="D158" s="28" t="s">
        <v>529</v>
      </c>
      <c r="E158" s="28" t="s">
        <v>280</v>
      </c>
      <c r="F158" s="28" t="s">
        <v>530</v>
      </c>
      <c r="G158" s="28" t="str">
        <f t="shared" ref="G158:G163" si="55">IF(C158="Sunday", "SUNDAY", IF(OR(D158=0, D158="", D158="0:0"), "ABSENT", IF(MOD(D158,1) &gt; TIME(9,45,0), "LATE", "OK")))</f>
        <v>LATE</v>
      </c>
      <c r="H158" s="31">
        <f t="shared" si="46"/>
        <v>0.24861111111111109</v>
      </c>
      <c r="I158" s="27" t="str">
        <f t="shared" ref="I158:I163" si="56">IF(VALUE(E158) &gt; TIME(19,0,0), TEXT(VALUE(E158) - TIME(19,0,0), "hh:mm"), "NO OT")</f>
        <v>NO OT</v>
      </c>
    </row>
    <row r="159" spans="1:9" hidden="1" x14ac:dyDescent="0.25">
      <c r="A159" s="28" t="s">
        <v>110</v>
      </c>
      <c r="B159" s="29">
        <v>46084</v>
      </c>
      <c r="C159" s="30" t="s">
        <v>458</v>
      </c>
      <c r="D159" s="28" t="s">
        <v>531</v>
      </c>
      <c r="E159" s="28" t="s">
        <v>230</v>
      </c>
      <c r="F159" s="28" t="s">
        <v>287</v>
      </c>
      <c r="G159" s="28" t="str">
        <f t="shared" si="55"/>
        <v>LATE</v>
      </c>
      <c r="H159" s="31">
        <f t="shared" si="46"/>
        <v>0.25763888888888881</v>
      </c>
      <c r="I159" s="27" t="str">
        <f t="shared" si="56"/>
        <v>NO OT</v>
      </c>
    </row>
    <row r="160" spans="1:9" hidden="1" x14ac:dyDescent="0.25">
      <c r="A160" s="28" t="s">
        <v>110</v>
      </c>
      <c r="B160" s="29">
        <v>46085</v>
      </c>
      <c r="C160" s="30" t="s">
        <v>459</v>
      </c>
      <c r="D160" s="28" t="s">
        <v>12</v>
      </c>
      <c r="E160" s="28" t="s">
        <v>12</v>
      </c>
      <c r="F160" s="28" t="s">
        <v>12</v>
      </c>
      <c r="G160" s="60" t="s">
        <v>594</v>
      </c>
      <c r="H160" s="61"/>
      <c r="I160" s="62"/>
    </row>
    <row r="161" spans="1:9" hidden="1" x14ac:dyDescent="0.25">
      <c r="A161" s="28" t="s">
        <v>110</v>
      </c>
      <c r="B161" s="29">
        <v>46086</v>
      </c>
      <c r="C161" s="30" t="s">
        <v>460</v>
      </c>
      <c r="D161" s="28" t="s">
        <v>83</v>
      </c>
      <c r="E161" s="28" t="s">
        <v>379</v>
      </c>
      <c r="F161" s="28" t="s">
        <v>532</v>
      </c>
      <c r="G161" s="28" t="str">
        <f t="shared" si="55"/>
        <v>LATE</v>
      </c>
      <c r="H161" s="31">
        <f t="shared" si="46"/>
        <v>0.26597222222222222</v>
      </c>
      <c r="I161" s="27" t="str">
        <f t="shared" si="56"/>
        <v>NO OT</v>
      </c>
    </row>
    <row r="162" spans="1:9" hidden="1" x14ac:dyDescent="0.25">
      <c r="A162" s="28" t="s">
        <v>110</v>
      </c>
      <c r="B162" s="29">
        <v>46087</v>
      </c>
      <c r="C162" s="30" t="s">
        <v>461</v>
      </c>
      <c r="D162" s="28" t="s">
        <v>12</v>
      </c>
      <c r="E162" s="28" t="s">
        <v>12</v>
      </c>
      <c r="F162" s="28" t="s">
        <v>12</v>
      </c>
      <c r="G162" s="60" t="str">
        <f t="shared" si="55"/>
        <v>ABSENT</v>
      </c>
      <c r="H162" s="61"/>
      <c r="I162" s="62"/>
    </row>
    <row r="163" spans="1:9" hidden="1" x14ac:dyDescent="0.25">
      <c r="A163" s="28" t="s">
        <v>110</v>
      </c>
      <c r="B163" s="29">
        <v>46088</v>
      </c>
      <c r="C163" s="30" t="s">
        <v>463</v>
      </c>
      <c r="D163" s="28" t="s">
        <v>330</v>
      </c>
      <c r="E163" s="28" t="s">
        <v>444</v>
      </c>
      <c r="F163" s="28" t="s">
        <v>250</v>
      </c>
      <c r="G163" s="28" t="str">
        <f t="shared" si="55"/>
        <v>LATE</v>
      </c>
      <c r="H163" s="31">
        <f t="shared" si="46"/>
        <v>0.26874999999999993</v>
      </c>
      <c r="I163" s="27" t="str">
        <f t="shared" si="56"/>
        <v>NO OT</v>
      </c>
    </row>
    <row r="164" spans="1:9" hidden="1" x14ac:dyDescent="0.25">
      <c r="A164" s="28" t="s">
        <v>110</v>
      </c>
      <c r="B164" s="29">
        <v>46089</v>
      </c>
      <c r="C164" s="60" t="s">
        <v>456</v>
      </c>
      <c r="D164" s="61"/>
      <c r="E164" s="61"/>
      <c r="F164" s="61"/>
      <c r="G164" s="61"/>
      <c r="H164" s="61"/>
      <c r="I164" s="62"/>
    </row>
    <row r="165" spans="1:9" hidden="1" x14ac:dyDescent="0.25">
      <c r="A165" s="28" t="s">
        <v>110</v>
      </c>
      <c r="B165" s="29">
        <v>46090</v>
      </c>
      <c r="C165" s="30" t="s">
        <v>457</v>
      </c>
      <c r="D165" s="28" t="s">
        <v>322</v>
      </c>
      <c r="E165" s="28" t="s">
        <v>464</v>
      </c>
      <c r="F165" s="28" t="s">
        <v>231</v>
      </c>
      <c r="G165" s="28" t="str">
        <f t="shared" ref="G165:G170" si="57">IF(C165="Sunday", "SUNDAY", IF(OR(D165=0, D165="", D165="0:0"), "ABSENT", IF(MOD(D165,1) &gt; TIME(9,45,0), "LATE", "OK")))</f>
        <v>LATE</v>
      </c>
      <c r="H165" s="31">
        <f t="shared" si="46"/>
        <v>0.27986111111111106</v>
      </c>
      <c r="I165" s="27" t="str">
        <f t="shared" ref="I165:I169" si="58">IF(VALUE(E165) &gt; TIME(19,0,0), TEXT(VALUE(E165) - TIME(19,0,0), "hh:mm"), "NO OT")</f>
        <v>NO OT</v>
      </c>
    </row>
    <row r="166" spans="1:9" hidden="1" x14ac:dyDescent="0.25">
      <c r="A166" s="28" t="s">
        <v>110</v>
      </c>
      <c r="B166" s="29">
        <v>46091</v>
      </c>
      <c r="C166" s="30" t="s">
        <v>458</v>
      </c>
      <c r="D166" s="28" t="s">
        <v>12</v>
      </c>
      <c r="E166" s="28" t="s">
        <v>12</v>
      </c>
      <c r="F166" s="28" t="s">
        <v>12</v>
      </c>
      <c r="G166" s="60" t="str">
        <f t="shared" si="57"/>
        <v>ABSENT</v>
      </c>
      <c r="H166" s="61"/>
      <c r="I166" s="62"/>
    </row>
    <row r="167" spans="1:9" hidden="1" x14ac:dyDescent="0.25">
      <c r="A167" s="28" t="s">
        <v>110</v>
      </c>
      <c r="B167" s="29">
        <v>46092</v>
      </c>
      <c r="C167" s="30" t="s">
        <v>459</v>
      </c>
      <c r="D167" s="28" t="s">
        <v>529</v>
      </c>
      <c r="E167" s="28" t="s">
        <v>440</v>
      </c>
      <c r="F167" s="28" t="s">
        <v>287</v>
      </c>
      <c r="G167" s="28" t="str">
        <f t="shared" si="57"/>
        <v>LATE</v>
      </c>
      <c r="H167" s="31">
        <f t="shared" si="46"/>
        <v>0.25763888888888881</v>
      </c>
      <c r="I167" s="27" t="str">
        <f t="shared" si="58"/>
        <v>NO OT</v>
      </c>
    </row>
    <row r="168" spans="1:9" hidden="1" x14ac:dyDescent="0.25">
      <c r="A168" s="28" t="s">
        <v>110</v>
      </c>
      <c r="B168" s="29">
        <v>46093</v>
      </c>
      <c r="C168" s="30" t="s">
        <v>460</v>
      </c>
      <c r="D168" s="28" t="s">
        <v>101</v>
      </c>
      <c r="E168" s="28" t="s">
        <v>466</v>
      </c>
      <c r="F168" s="28" t="s">
        <v>429</v>
      </c>
      <c r="G168" s="28" t="str">
        <f t="shared" si="57"/>
        <v>LATE</v>
      </c>
      <c r="H168" s="31">
        <f t="shared" si="46"/>
        <v>0.26388888888888884</v>
      </c>
      <c r="I168" s="27" t="str">
        <f t="shared" si="58"/>
        <v>NO OT</v>
      </c>
    </row>
    <row r="169" spans="1:9" hidden="1" x14ac:dyDescent="0.25">
      <c r="A169" s="28" t="s">
        <v>110</v>
      </c>
      <c r="B169" s="29">
        <v>46094</v>
      </c>
      <c r="C169" s="30" t="s">
        <v>461</v>
      </c>
      <c r="D169" s="28" t="s">
        <v>100</v>
      </c>
      <c r="E169" s="28" t="s">
        <v>478</v>
      </c>
      <c r="F169" s="28" t="s">
        <v>287</v>
      </c>
      <c r="G169" s="28" t="str">
        <f t="shared" si="57"/>
        <v>LATE</v>
      </c>
      <c r="H169" s="31">
        <f t="shared" si="46"/>
        <v>0.25763888888888886</v>
      </c>
      <c r="I169" s="27" t="str">
        <f t="shared" si="58"/>
        <v>NO OT</v>
      </c>
    </row>
    <row r="170" spans="1:9" hidden="1" x14ac:dyDescent="0.25">
      <c r="A170" s="28" t="s">
        <v>110</v>
      </c>
      <c r="B170" s="29">
        <v>46095</v>
      </c>
      <c r="C170" s="30" t="s">
        <v>463</v>
      </c>
      <c r="D170" s="28" t="s">
        <v>12</v>
      </c>
      <c r="E170" s="28" t="s">
        <v>12</v>
      </c>
      <c r="F170" s="28" t="s">
        <v>12</v>
      </c>
      <c r="G170" s="60" t="str">
        <f t="shared" si="57"/>
        <v>ABSENT</v>
      </c>
      <c r="H170" s="61"/>
      <c r="I170" s="62"/>
    </row>
    <row r="171" spans="1:9" hidden="1" x14ac:dyDescent="0.25">
      <c r="A171" s="28" t="s">
        <v>110</v>
      </c>
      <c r="B171" s="29">
        <v>46096</v>
      </c>
      <c r="C171" s="60" t="s">
        <v>456</v>
      </c>
      <c r="D171" s="61"/>
      <c r="E171" s="61"/>
      <c r="F171" s="61"/>
      <c r="G171" s="61"/>
      <c r="H171" s="61"/>
      <c r="I171" s="62"/>
    </row>
    <row r="172" spans="1:9" hidden="1" x14ac:dyDescent="0.25">
      <c r="A172" s="28" t="s">
        <v>110</v>
      </c>
      <c r="B172" s="29">
        <v>46097</v>
      </c>
      <c r="C172" s="30" t="s">
        <v>457</v>
      </c>
      <c r="D172" s="28" t="s">
        <v>12</v>
      </c>
      <c r="E172" s="28" t="s">
        <v>12</v>
      </c>
      <c r="F172" s="28" t="s">
        <v>12</v>
      </c>
      <c r="G172" s="60" t="str">
        <f t="shared" ref="G172" si="59">IF(C172="Sunday", "SUNDAY", IF(OR(D172=0, D172="", D172="0:0"), "ABSENT", IF(MOD(D172,1) &gt; TIME(9,45,0), "LATE", "OK")))</f>
        <v>ABSENT</v>
      </c>
      <c r="H172" s="61"/>
      <c r="I172" s="62"/>
    </row>
    <row r="173" spans="1:9" hidden="1" x14ac:dyDescent="0.25">
      <c r="A173" s="28" t="s">
        <v>110</v>
      </c>
      <c r="B173" s="29">
        <v>46098</v>
      </c>
      <c r="C173" s="30" t="s">
        <v>458</v>
      </c>
      <c r="D173" s="28" t="s">
        <v>186</v>
      </c>
      <c r="E173" s="28" t="s">
        <v>533</v>
      </c>
      <c r="F173" s="28" t="s">
        <v>441</v>
      </c>
      <c r="G173" s="28" t="str">
        <f t="shared" ref="G173:G176" si="60">IF(C173="Sunday", "SUNDAY", IF(OR(D173=0, D173="", D173="0:0"), "ABSENT", IF(MOD(D173,1) &gt; TIME(9,45,0), "LATE", "OK")))</f>
        <v>LATE</v>
      </c>
      <c r="H173" s="31">
        <f t="shared" si="46"/>
        <v>0.26111111111111107</v>
      </c>
      <c r="I173" s="27" t="str">
        <f t="shared" ref="I173:I176" si="61">IF(VALUE(E173) &gt; TIME(19,0,0), TEXT(VALUE(E173) - TIME(19,0,0), "hh:mm"), "NO OT")</f>
        <v>NO OT</v>
      </c>
    </row>
    <row r="174" spans="1:9" hidden="1" x14ac:dyDescent="0.25">
      <c r="A174" s="28" t="s">
        <v>110</v>
      </c>
      <c r="B174" s="29">
        <v>46099</v>
      </c>
      <c r="C174" s="30" t="s">
        <v>459</v>
      </c>
      <c r="D174" s="28" t="s">
        <v>12</v>
      </c>
      <c r="E174" s="28" t="s">
        <v>12</v>
      </c>
      <c r="F174" s="28" t="s">
        <v>12</v>
      </c>
      <c r="G174" s="60" t="str">
        <f t="shared" si="60"/>
        <v>ABSENT</v>
      </c>
      <c r="H174" s="61"/>
      <c r="I174" s="62"/>
    </row>
    <row r="175" spans="1:9" hidden="1" x14ac:dyDescent="0.25">
      <c r="A175" s="28" t="s">
        <v>110</v>
      </c>
      <c r="B175" s="29">
        <v>46100</v>
      </c>
      <c r="C175" s="30" t="s">
        <v>460</v>
      </c>
      <c r="D175" s="28" t="s">
        <v>12</v>
      </c>
      <c r="E175" s="28" t="s">
        <v>12</v>
      </c>
      <c r="F175" s="28" t="s">
        <v>12</v>
      </c>
      <c r="G175" s="60" t="str">
        <f t="shared" si="60"/>
        <v>ABSENT</v>
      </c>
      <c r="H175" s="61"/>
      <c r="I175" s="62"/>
    </row>
    <row r="176" spans="1:9" hidden="1" x14ac:dyDescent="0.25">
      <c r="A176" s="28" t="s">
        <v>110</v>
      </c>
      <c r="B176" s="29">
        <v>46101</v>
      </c>
      <c r="C176" s="30" t="s">
        <v>461</v>
      </c>
      <c r="D176" s="28" t="s">
        <v>161</v>
      </c>
      <c r="E176" s="28" t="s">
        <v>245</v>
      </c>
      <c r="F176" s="28" t="s">
        <v>534</v>
      </c>
      <c r="G176" s="28" t="str">
        <f t="shared" si="60"/>
        <v>LATE</v>
      </c>
      <c r="H176" s="31">
        <f t="shared" si="46"/>
        <v>0.25972222222222219</v>
      </c>
      <c r="I176" s="27" t="str">
        <f t="shared" si="61"/>
        <v>NO OT</v>
      </c>
    </row>
    <row r="177" spans="1:9" hidden="1" x14ac:dyDescent="0.25">
      <c r="A177" s="28" t="s">
        <v>110</v>
      </c>
      <c r="B177" s="29">
        <v>46102</v>
      </c>
      <c r="C177" s="30" t="s">
        <v>463</v>
      </c>
      <c r="D177" s="28" t="s">
        <v>12</v>
      </c>
      <c r="E177" s="28" t="s">
        <v>12</v>
      </c>
      <c r="F177" s="28" t="s">
        <v>12</v>
      </c>
      <c r="G177" s="60" t="s">
        <v>592</v>
      </c>
      <c r="H177" s="61"/>
      <c r="I177" s="62"/>
    </row>
    <row r="178" spans="1:9" hidden="1" x14ac:dyDescent="0.25">
      <c r="A178" s="28" t="s">
        <v>110</v>
      </c>
      <c r="B178" s="29">
        <v>46103</v>
      </c>
      <c r="C178" s="60" t="s">
        <v>456</v>
      </c>
      <c r="D178" s="61"/>
      <c r="E178" s="61"/>
      <c r="F178" s="61"/>
      <c r="G178" s="61"/>
      <c r="H178" s="61"/>
      <c r="I178" s="62"/>
    </row>
    <row r="179" spans="1:9" hidden="1" x14ac:dyDescent="0.25">
      <c r="A179" s="28" t="s">
        <v>110</v>
      </c>
      <c r="B179" s="29">
        <v>46104</v>
      </c>
      <c r="C179" s="30" t="s">
        <v>457</v>
      </c>
      <c r="D179" s="28" t="s">
        <v>12</v>
      </c>
      <c r="E179" s="28" t="s">
        <v>12</v>
      </c>
      <c r="F179" s="28" t="s">
        <v>12</v>
      </c>
      <c r="G179" s="60" t="s">
        <v>592</v>
      </c>
      <c r="H179" s="61"/>
      <c r="I179" s="62"/>
    </row>
    <row r="180" spans="1:9" hidden="1" x14ac:dyDescent="0.25">
      <c r="A180" s="28" t="s">
        <v>110</v>
      </c>
      <c r="B180" s="29">
        <v>46105</v>
      </c>
      <c r="C180" s="30" t="s">
        <v>458</v>
      </c>
      <c r="D180" s="28" t="s">
        <v>189</v>
      </c>
      <c r="E180" s="28" t="s">
        <v>214</v>
      </c>
      <c r="F180" s="28" t="s">
        <v>367</v>
      </c>
      <c r="G180" s="28" t="str">
        <f t="shared" ref="G180:G184" si="62">IF(C180="Sunday", "SUNDAY", IF(OR(D180=0, D180="", D180="0:0"), "ABSENT", IF(MOD(D180,1) &gt; TIME(9,45,0), "LATE", "OK")))</f>
        <v>OK</v>
      </c>
      <c r="H180" s="31">
        <f t="shared" si="46"/>
        <v>0.32569444444444445</v>
      </c>
      <c r="I180" s="27" t="str">
        <f t="shared" ref="I180:I181" si="63">IF(VALUE(E180) &gt; TIME(19,0,0), TEXT(VALUE(E180) - TIME(19,0,0), "hh:mm"), "NO OT")</f>
        <v>NO OT</v>
      </c>
    </row>
    <row r="181" spans="1:9" hidden="1" x14ac:dyDescent="0.25">
      <c r="A181" s="28" t="s">
        <v>110</v>
      </c>
      <c r="B181" s="29">
        <v>46106</v>
      </c>
      <c r="C181" s="30" t="s">
        <v>459</v>
      </c>
      <c r="D181" s="28" t="s">
        <v>219</v>
      </c>
      <c r="E181" s="28" t="s">
        <v>319</v>
      </c>
      <c r="F181" s="28" t="s">
        <v>497</v>
      </c>
      <c r="G181" s="28" t="str">
        <f t="shared" si="62"/>
        <v>OK</v>
      </c>
      <c r="H181" s="31">
        <f t="shared" si="46"/>
        <v>0.31736111111111104</v>
      </c>
      <c r="I181" s="27" t="str">
        <f t="shared" si="63"/>
        <v>NO OT</v>
      </c>
    </row>
    <row r="182" spans="1:9" hidden="1" x14ac:dyDescent="0.25">
      <c r="A182" s="28" t="s">
        <v>110</v>
      </c>
      <c r="B182" s="29">
        <v>46107</v>
      </c>
      <c r="C182" s="30" t="s">
        <v>460</v>
      </c>
      <c r="D182" s="28" t="s">
        <v>12</v>
      </c>
      <c r="E182" s="28" t="s">
        <v>12</v>
      </c>
      <c r="F182" s="28" t="s">
        <v>12</v>
      </c>
      <c r="G182" s="60" t="str">
        <f t="shared" si="62"/>
        <v>ABSENT</v>
      </c>
      <c r="H182" s="61"/>
      <c r="I182" s="62"/>
    </row>
    <row r="183" spans="1:9" hidden="1" x14ac:dyDescent="0.25">
      <c r="A183" s="28" t="s">
        <v>110</v>
      </c>
      <c r="B183" s="29">
        <v>46108</v>
      </c>
      <c r="C183" s="30" t="s">
        <v>461</v>
      </c>
      <c r="D183" s="28" t="s">
        <v>12</v>
      </c>
      <c r="E183" s="28" t="s">
        <v>12</v>
      </c>
      <c r="F183" s="28" t="s">
        <v>12</v>
      </c>
      <c r="G183" s="60" t="str">
        <f t="shared" si="62"/>
        <v>ABSENT</v>
      </c>
      <c r="H183" s="61"/>
      <c r="I183" s="62"/>
    </row>
    <row r="184" spans="1:9" hidden="1" x14ac:dyDescent="0.25">
      <c r="A184" s="28" t="s">
        <v>110</v>
      </c>
      <c r="B184" s="29">
        <v>46109</v>
      </c>
      <c r="C184" s="30" t="s">
        <v>463</v>
      </c>
      <c r="D184" s="28" t="s">
        <v>12</v>
      </c>
      <c r="E184" s="28" t="s">
        <v>12</v>
      </c>
      <c r="F184" s="28" t="s">
        <v>12</v>
      </c>
      <c r="G184" s="60" t="str">
        <f t="shared" si="62"/>
        <v>ABSENT</v>
      </c>
      <c r="H184" s="61"/>
      <c r="I184" s="62"/>
    </row>
    <row r="185" spans="1:9" hidden="1" x14ac:dyDescent="0.25">
      <c r="A185" s="28" t="s">
        <v>110</v>
      </c>
      <c r="B185" s="29">
        <v>46110</v>
      </c>
      <c r="C185" s="60" t="s">
        <v>456</v>
      </c>
      <c r="D185" s="61"/>
      <c r="E185" s="61"/>
      <c r="F185" s="61"/>
      <c r="G185" s="61"/>
      <c r="H185" s="61"/>
      <c r="I185" s="62"/>
    </row>
    <row r="186" spans="1:9" hidden="1" x14ac:dyDescent="0.25">
      <c r="A186" s="28" t="s">
        <v>110</v>
      </c>
      <c r="B186" s="29">
        <v>46111</v>
      </c>
      <c r="C186" s="30" t="s">
        <v>457</v>
      </c>
      <c r="D186" s="28" t="s">
        <v>12</v>
      </c>
      <c r="E186" s="28" t="s">
        <v>12</v>
      </c>
      <c r="F186" s="28" t="s">
        <v>12</v>
      </c>
      <c r="G186" s="60" t="str">
        <f t="shared" ref="G186:G187" si="64">IF(C186="Sunday", "SUNDAY", IF(OR(D186=0, D186="", D186="0:0"), "ABSENT", IF(MOD(D186,1) &gt; TIME(9,45,0), "LATE", "OK")))</f>
        <v>ABSENT</v>
      </c>
      <c r="H186" s="61"/>
      <c r="I186" s="62"/>
    </row>
    <row r="187" spans="1:9" hidden="1" x14ac:dyDescent="0.25">
      <c r="A187" s="28" t="s">
        <v>110</v>
      </c>
      <c r="B187" s="29">
        <v>46112</v>
      </c>
      <c r="C187" s="30" t="s">
        <v>458</v>
      </c>
      <c r="D187" s="28" t="s">
        <v>12</v>
      </c>
      <c r="E187" s="28" t="s">
        <v>12</v>
      </c>
      <c r="F187" s="28" t="s">
        <v>12</v>
      </c>
      <c r="G187" s="60" t="str">
        <f t="shared" si="64"/>
        <v>ABSENT</v>
      </c>
      <c r="H187" s="61"/>
      <c r="I187" s="62"/>
    </row>
    <row r="188" spans="1:9" hidden="1" x14ac:dyDescent="0.25">
      <c r="A188" s="28" t="s">
        <v>111</v>
      </c>
      <c r="B188" s="29">
        <v>46082</v>
      </c>
      <c r="C188" s="60" t="s">
        <v>456</v>
      </c>
      <c r="D188" s="61"/>
      <c r="E188" s="61"/>
      <c r="F188" s="61"/>
      <c r="G188" s="61"/>
      <c r="H188" s="61"/>
      <c r="I188" s="62"/>
    </row>
    <row r="189" spans="1:9" hidden="1" x14ac:dyDescent="0.25">
      <c r="A189" s="28" t="s">
        <v>111</v>
      </c>
      <c r="B189" s="29">
        <v>46083</v>
      </c>
      <c r="C189" s="30" t="s">
        <v>457</v>
      </c>
      <c r="D189" s="28" t="s">
        <v>128</v>
      </c>
      <c r="E189" s="28" t="s">
        <v>387</v>
      </c>
      <c r="F189" s="28" t="s">
        <v>284</v>
      </c>
      <c r="G189" s="28" t="str">
        <f t="shared" ref="G189:G194" si="65">IF(C189="Sunday", "SUNDAY", IF(OR(D189=0, D189="", D189="0:0"), "ABSENT", IF(MOD(D189,1) &gt; TIME(9,45,0), "LATE", "OK")))</f>
        <v>LATE</v>
      </c>
      <c r="H189" s="31">
        <f t="shared" si="46"/>
        <v>0.23611111111111108</v>
      </c>
      <c r="I189" s="27" t="str">
        <f t="shared" ref="I189:I194" si="66">IF(VALUE(E189) &gt; TIME(19,0,0), TEXT(VALUE(E189) - TIME(19,0,0), "hh:mm"), "NO OT")</f>
        <v>NO OT</v>
      </c>
    </row>
    <row r="190" spans="1:9" hidden="1" x14ac:dyDescent="0.25">
      <c r="A190" s="28" t="s">
        <v>111</v>
      </c>
      <c r="B190" s="29">
        <v>46084</v>
      </c>
      <c r="C190" s="30" t="s">
        <v>458</v>
      </c>
      <c r="D190" s="28" t="s">
        <v>134</v>
      </c>
      <c r="E190" s="28" t="s">
        <v>270</v>
      </c>
      <c r="F190" s="28" t="s">
        <v>465</v>
      </c>
      <c r="G190" s="28" t="str">
        <f t="shared" si="65"/>
        <v>LATE</v>
      </c>
      <c r="H190" s="31">
        <f t="shared" si="46"/>
        <v>0.27916666666666662</v>
      </c>
      <c r="I190" s="27" t="str">
        <f t="shared" si="66"/>
        <v>NO OT</v>
      </c>
    </row>
    <row r="191" spans="1:9" hidden="1" x14ac:dyDescent="0.25">
      <c r="A191" s="28" t="s">
        <v>111</v>
      </c>
      <c r="B191" s="29">
        <v>46085</v>
      </c>
      <c r="C191" s="30" t="s">
        <v>459</v>
      </c>
      <c r="D191" s="28" t="s">
        <v>12</v>
      </c>
      <c r="E191" s="28" t="s">
        <v>12</v>
      </c>
      <c r="F191" s="28" t="s">
        <v>12</v>
      </c>
      <c r="G191" s="60" t="s">
        <v>594</v>
      </c>
      <c r="H191" s="61"/>
      <c r="I191" s="62"/>
    </row>
    <row r="192" spans="1:9" hidden="1" x14ac:dyDescent="0.25">
      <c r="A192" s="28" t="s">
        <v>111</v>
      </c>
      <c r="B192" s="29">
        <v>46086</v>
      </c>
      <c r="C192" s="30" t="s">
        <v>460</v>
      </c>
      <c r="D192" s="28" t="s">
        <v>535</v>
      </c>
      <c r="E192" s="28" t="s">
        <v>381</v>
      </c>
      <c r="F192" s="28" t="s">
        <v>536</v>
      </c>
      <c r="G192" s="28" t="str">
        <f t="shared" si="65"/>
        <v>LATE</v>
      </c>
      <c r="H192" s="31">
        <f t="shared" si="46"/>
        <v>0.20555555555555557</v>
      </c>
      <c r="I192" s="27" t="str">
        <f t="shared" si="66"/>
        <v>NO OT</v>
      </c>
    </row>
    <row r="193" spans="1:9" hidden="1" x14ac:dyDescent="0.25">
      <c r="A193" s="28" t="s">
        <v>111</v>
      </c>
      <c r="B193" s="29">
        <v>46087</v>
      </c>
      <c r="C193" s="30" t="s">
        <v>461</v>
      </c>
      <c r="D193" s="28" t="s">
        <v>507</v>
      </c>
      <c r="E193" s="28" t="s">
        <v>190</v>
      </c>
      <c r="F193" s="28" t="s">
        <v>408</v>
      </c>
      <c r="G193" s="28" t="str">
        <f t="shared" si="65"/>
        <v>LATE</v>
      </c>
      <c r="H193" s="31">
        <f t="shared" si="46"/>
        <v>0.29652777777777778</v>
      </c>
      <c r="I193" s="27" t="str">
        <f t="shared" si="66"/>
        <v>NO OT</v>
      </c>
    </row>
    <row r="194" spans="1:9" hidden="1" x14ac:dyDescent="0.25">
      <c r="A194" s="28" t="s">
        <v>111</v>
      </c>
      <c r="B194" s="29">
        <v>46088</v>
      </c>
      <c r="C194" s="30" t="s">
        <v>463</v>
      </c>
      <c r="D194" s="28" t="s">
        <v>136</v>
      </c>
      <c r="E194" s="28" t="s">
        <v>425</v>
      </c>
      <c r="F194" s="28" t="s">
        <v>414</v>
      </c>
      <c r="G194" s="28" t="str">
        <f t="shared" si="65"/>
        <v>LATE</v>
      </c>
      <c r="H194" s="31">
        <f t="shared" si="46"/>
        <v>0.26666666666666666</v>
      </c>
      <c r="I194" s="27" t="str">
        <f t="shared" si="66"/>
        <v>NO OT</v>
      </c>
    </row>
    <row r="195" spans="1:9" hidden="1" x14ac:dyDescent="0.25">
      <c r="A195" s="28" t="s">
        <v>111</v>
      </c>
      <c r="B195" s="29">
        <v>46089</v>
      </c>
      <c r="C195" s="60" t="s">
        <v>456</v>
      </c>
      <c r="D195" s="61"/>
      <c r="E195" s="61"/>
      <c r="F195" s="61"/>
      <c r="G195" s="61"/>
      <c r="H195" s="61"/>
      <c r="I195" s="62"/>
    </row>
    <row r="196" spans="1:9" hidden="1" x14ac:dyDescent="0.25">
      <c r="A196" s="28" t="s">
        <v>111</v>
      </c>
      <c r="B196" s="29">
        <v>46090</v>
      </c>
      <c r="C196" s="30" t="s">
        <v>457</v>
      </c>
      <c r="D196" s="28" t="s">
        <v>132</v>
      </c>
      <c r="E196" s="28" t="s">
        <v>12</v>
      </c>
      <c r="F196" s="28" t="s">
        <v>188</v>
      </c>
      <c r="G196" s="28" t="str">
        <f t="shared" ref="G196:G201" si="67">IF(C196="Sunday", "SUNDAY", IF(OR(D196=0, D196="", D196="0:0"), "ABSENT", IF(MOD(D196,1) &gt; TIME(9,45,0), "LATE", "OK")))</f>
        <v>LATE</v>
      </c>
      <c r="H196" s="31">
        <f t="shared" ref="H196:H259" si="68">IF(OR(D196=0, D196="", E196=0, E196=""), 0, (E196-D196)-TIME(1,0,0))</f>
        <v>-0.48333333333333334</v>
      </c>
      <c r="I196" s="27" t="str">
        <f t="shared" ref="I196:I200" si="69">IF(VALUE(E196) &gt; TIME(19,0,0), TEXT(VALUE(E196) - TIME(19,0,0), "hh:mm"), "NO OT")</f>
        <v>NO OT</v>
      </c>
    </row>
    <row r="197" spans="1:9" hidden="1" x14ac:dyDescent="0.25">
      <c r="A197" s="28" t="s">
        <v>111</v>
      </c>
      <c r="B197" s="29">
        <v>46091</v>
      </c>
      <c r="C197" s="30" t="s">
        <v>458</v>
      </c>
      <c r="D197" s="28" t="s">
        <v>171</v>
      </c>
      <c r="E197" s="28" t="s">
        <v>319</v>
      </c>
      <c r="F197" s="28" t="s">
        <v>435</v>
      </c>
      <c r="G197" s="28" t="str">
        <f t="shared" si="67"/>
        <v>LATE</v>
      </c>
      <c r="H197" s="31">
        <f t="shared" si="68"/>
        <v>0.2715277777777777</v>
      </c>
      <c r="I197" s="27" t="str">
        <f t="shared" si="69"/>
        <v>NO OT</v>
      </c>
    </row>
    <row r="198" spans="1:9" hidden="1" x14ac:dyDescent="0.25">
      <c r="A198" s="28" t="s">
        <v>111</v>
      </c>
      <c r="B198" s="29">
        <v>46092</v>
      </c>
      <c r="C198" s="30" t="s">
        <v>459</v>
      </c>
      <c r="D198" s="28" t="s">
        <v>537</v>
      </c>
      <c r="E198" s="28" t="s">
        <v>12</v>
      </c>
      <c r="F198" s="28" t="s">
        <v>188</v>
      </c>
      <c r="G198" s="28" t="str">
        <f t="shared" si="67"/>
        <v>LATE</v>
      </c>
      <c r="H198" s="31">
        <f t="shared" si="68"/>
        <v>-0.49513888888888891</v>
      </c>
      <c r="I198" s="27" t="str">
        <f t="shared" si="69"/>
        <v>NO OT</v>
      </c>
    </row>
    <row r="199" spans="1:9" hidden="1" x14ac:dyDescent="0.25">
      <c r="A199" s="28" t="s">
        <v>111</v>
      </c>
      <c r="B199" s="29">
        <v>46093</v>
      </c>
      <c r="C199" s="30" t="s">
        <v>460</v>
      </c>
      <c r="D199" s="28" t="s">
        <v>170</v>
      </c>
      <c r="E199" s="28" t="s">
        <v>510</v>
      </c>
      <c r="F199" s="28" t="s">
        <v>532</v>
      </c>
      <c r="G199" s="28" t="str">
        <f t="shared" si="67"/>
        <v>LATE</v>
      </c>
      <c r="H199" s="31">
        <f t="shared" si="68"/>
        <v>0.26597222222222217</v>
      </c>
      <c r="I199" s="27" t="str">
        <f t="shared" si="69"/>
        <v>NO OT</v>
      </c>
    </row>
    <row r="200" spans="1:9" hidden="1" x14ac:dyDescent="0.25">
      <c r="A200" s="28" t="s">
        <v>111</v>
      </c>
      <c r="B200" s="29">
        <v>46094</v>
      </c>
      <c r="C200" s="30" t="s">
        <v>461</v>
      </c>
      <c r="D200" s="28" t="s">
        <v>128</v>
      </c>
      <c r="E200" s="28" t="s">
        <v>538</v>
      </c>
      <c r="F200" s="28" t="s">
        <v>539</v>
      </c>
      <c r="G200" s="28" t="str">
        <f t="shared" si="67"/>
        <v>LATE</v>
      </c>
      <c r="H200" s="31">
        <f t="shared" si="68"/>
        <v>0.30138888888888882</v>
      </c>
      <c r="I200" s="27" t="str">
        <f t="shared" si="69"/>
        <v>00:06</v>
      </c>
    </row>
    <row r="201" spans="1:9" hidden="1" x14ac:dyDescent="0.25">
      <c r="A201" s="28" t="s">
        <v>111</v>
      </c>
      <c r="B201" s="29">
        <v>46095</v>
      </c>
      <c r="C201" s="30" t="s">
        <v>463</v>
      </c>
      <c r="D201" s="28" t="s">
        <v>12</v>
      </c>
      <c r="E201" s="28" t="s">
        <v>12</v>
      </c>
      <c r="F201" s="28" t="s">
        <v>12</v>
      </c>
      <c r="G201" s="60" t="str">
        <f t="shared" si="67"/>
        <v>ABSENT</v>
      </c>
      <c r="H201" s="61"/>
      <c r="I201" s="62"/>
    </row>
    <row r="202" spans="1:9" hidden="1" x14ac:dyDescent="0.25">
      <c r="A202" s="28" t="s">
        <v>111</v>
      </c>
      <c r="B202" s="29">
        <v>46096</v>
      </c>
      <c r="C202" s="60" t="s">
        <v>456</v>
      </c>
      <c r="D202" s="61"/>
      <c r="E202" s="61"/>
      <c r="F202" s="61"/>
      <c r="G202" s="61"/>
      <c r="H202" s="61"/>
      <c r="I202" s="62"/>
    </row>
    <row r="203" spans="1:9" hidden="1" x14ac:dyDescent="0.25">
      <c r="A203" s="28" t="s">
        <v>111</v>
      </c>
      <c r="B203" s="29">
        <v>46097</v>
      </c>
      <c r="C203" s="30" t="s">
        <v>457</v>
      </c>
      <c r="D203" s="28" t="s">
        <v>124</v>
      </c>
      <c r="E203" s="28" t="s">
        <v>521</v>
      </c>
      <c r="F203" s="28" t="s">
        <v>493</v>
      </c>
      <c r="G203" s="28" t="str">
        <f t="shared" ref="G203:G207" si="70">IF(C203="Sunday", "SUNDAY", IF(OR(D203=0, D203="", D203="0:0"), "ABSENT", IF(MOD(D203,1) &gt; TIME(9,45,0), "LATE", "OK")))</f>
        <v>LATE</v>
      </c>
      <c r="H203" s="31">
        <f t="shared" si="68"/>
        <v>0.25694444444444442</v>
      </c>
      <c r="I203" s="27" t="str">
        <f t="shared" ref="I203:I207" si="71">IF(VALUE(E203) &gt; TIME(19,0,0), TEXT(VALUE(E203) - TIME(19,0,0), "hh:mm"), "NO OT")</f>
        <v>NO OT</v>
      </c>
    </row>
    <row r="204" spans="1:9" hidden="1" x14ac:dyDescent="0.25">
      <c r="A204" s="28" t="s">
        <v>111</v>
      </c>
      <c r="B204" s="29">
        <v>46098</v>
      </c>
      <c r="C204" s="30" t="s">
        <v>458</v>
      </c>
      <c r="D204" s="28" t="s">
        <v>124</v>
      </c>
      <c r="E204" s="28" t="s">
        <v>203</v>
      </c>
      <c r="F204" s="28" t="s">
        <v>487</v>
      </c>
      <c r="G204" s="28" t="str">
        <f t="shared" si="70"/>
        <v>LATE</v>
      </c>
      <c r="H204" s="31">
        <f t="shared" si="68"/>
        <v>0.28611111111111109</v>
      </c>
      <c r="I204" s="27" t="str">
        <f t="shared" si="71"/>
        <v>NO OT</v>
      </c>
    </row>
    <row r="205" spans="1:9" hidden="1" x14ac:dyDescent="0.25">
      <c r="A205" s="28" t="s">
        <v>111</v>
      </c>
      <c r="B205" s="29">
        <v>46099</v>
      </c>
      <c r="C205" s="30" t="s">
        <v>459</v>
      </c>
      <c r="D205" s="28" t="s">
        <v>12</v>
      </c>
      <c r="E205" s="28" t="s">
        <v>12</v>
      </c>
      <c r="F205" s="28" t="s">
        <v>12</v>
      </c>
      <c r="G205" s="60" t="str">
        <f t="shared" si="70"/>
        <v>ABSENT</v>
      </c>
      <c r="H205" s="61"/>
      <c r="I205" s="62"/>
    </row>
    <row r="206" spans="1:9" hidden="1" x14ac:dyDescent="0.25">
      <c r="A206" s="28" t="s">
        <v>111</v>
      </c>
      <c r="B206" s="29">
        <v>46100</v>
      </c>
      <c r="C206" s="30" t="s">
        <v>460</v>
      </c>
      <c r="D206" s="28" t="s">
        <v>537</v>
      </c>
      <c r="E206" s="28" t="s">
        <v>540</v>
      </c>
      <c r="F206" s="28" t="s">
        <v>541</v>
      </c>
      <c r="G206" s="28" t="str">
        <f t="shared" si="70"/>
        <v>LATE</v>
      </c>
      <c r="H206" s="31">
        <f t="shared" si="68"/>
        <v>0.24652777777777782</v>
      </c>
      <c r="I206" s="27" t="str">
        <f t="shared" si="71"/>
        <v>NO OT</v>
      </c>
    </row>
    <row r="207" spans="1:9" hidden="1" x14ac:dyDescent="0.25">
      <c r="A207" s="28" t="s">
        <v>111</v>
      </c>
      <c r="B207" s="29">
        <v>46101</v>
      </c>
      <c r="C207" s="30" t="s">
        <v>461</v>
      </c>
      <c r="D207" s="28" t="s">
        <v>542</v>
      </c>
      <c r="E207" s="28" t="s">
        <v>379</v>
      </c>
      <c r="F207" s="28" t="s">
        <v>543</v>
      </c>
      <c r="G207" s="28" t="str">
        <f t="shared" si="70"/>
        <v>LATE</v>
      </c>
      <c r="H207" s="31">
        <f t="shared" si="68"/>
        <v>0.23680555555555563</v>
      </c>
      <c r="I207" s="27" t="str">
        <f t="shared" si="71"/>
        <v>NO OT</v>
      </c>
    </row>
    <row r="208" spans="1:9" hidden="1" x14ac:dyDescent="0.25">
      <c r="A208" s="28" t="s">
        <v>111</v>
      </c>
      <c r="B208" s="29">
        <v>46102</v>
      </c>
      <c r="C208" s="30" t="s">
        <v>463</v>
      </c>
      <c r="D208" s="28" t="s">
        <v>12</v>
      </c>
      <c r="E208" s="28" t="s">
        <v>12</v>
      </c>
      <c r="F208" s="28" t="s">
        <v>12</v>
      </c>
      <c r="G208" s="60" t="s">
        <v>592</v>
      </c>
      <c r="H208" s="61"/>
      <c r="I208" s="62"/>
    </row>
    <row r="209" spans="1:9" hidden="1" x14ac:dyDescent="0.25">
      <c r="A209" s="28" t="s">
        <v>111</v>
      </c>
      <c r="B209" s="29">
        <v>46103</v>
      </c>
      <c r="C209" s="60" t="s">
        <v>456</v>
      </c>
      <c r="D209" s="61"/>
      <c r="E209" s="61"/>
      <c r="F209" s="61"/>
      <c r="G209" s="61"/>
      <c r="H209" s="61"/>
      <c r="I209" s="62"/>
    </row>
    <row r="210" spans="1:9" hidden="1" x14ac:dyDescent="0.25">
      <c r="A210" s="28" t="s">
        <v>111</v>
      </c>
      <c r="B210" s="29">
        <v>46104</v>
      </c>
      <c r="C210" s="30" t="s">
        <v>457</v>
      </c>
      <c r="D210" s="28" t="s">
        <v>12</v>
      </c>
      <c r="E210" s="28" t="s">
        <v>12</v>
      </c>
      <c r="F210" s="28" t="s">
        <v>12</v>
      </c>
      <c r="G210" s="60" t="str">
        <f t="shared" ref="G210" si="72">IF(C210="Sunday", "SUNDAY", IF(OR(D210=0, D210="", D210="0:0"), "ABSENT", IF(MOD(D210,1) &gt; TIME(9,45,0), "LATE", "OK")))</f>
        <v>ABSENT</v>
      </c>
      <c r="H210" s="61"/>
      <c r="I210" s="62"/>
    </row>
    <row r="211" spans="1:9" hidden="1" x14ac:dyDescent="0.25">
      <c r="A211" s="28" t="s">
        <v>111</v>
      </c>
      <c r="B211" s="29">
        <v>46105</v>
      </c>
      <c r="C211" s="30" t="s">
        <v>458</v>
      </c>
      <c r="D211" s="28" t="s">
        <v>129</v>
      </c>
      <c r="E211" s="28" t="s">
        <v>12</v>
      </c>
      <c r="F211" s="28" t="s">
        <v>188</v>
      </c>
      <c r="G211" s="28" t="str">
        <f t="shared" ref="G211:G215" si="73">IF(C211="Sunday", "SUNDAY", IF(OR(D211=0, D211="", D211="0:0"), "ABSENT", IF(MOD(D211,1) &gt; TIME(9,45,0), "LATE", "OK")))</f>
        <v>LATE</v>
      </c>
      <c r="H211" s="31">
        <f t="shared" si="68"/>
        <v>-0.48541666666666666</v>
      </c>
      <c r="I211" s="27" t="str">
        <f t="shared" ref="I211:I215" si="74">IF(VALUE(E211) &gt; TIME(19,0,0), TEXT(VALUE(E211) - TIME(19,0,0), "hh:mm"), "NO OT")</f>
        <v>NO OT</v>
      </c>
    </row>
    <row r="212" spans="1:9" hidden="1" x14ac:dyDescent="0.25">
      <c r="A212" s="28" t="s">
        <v>111</v>
      </c>
      <c r="B212" s="29">
        <v>46106</v>
      </c>
      <c r="C212" s="30" t="s">
        <v>459</v>
      </c>
      <c r="D212" s="28" t="s">
        <v>122</v>
      </c>
      <c r="E212" s="28" t="s">
        <v>254</v>
      </c>
      <c r="F212" s="28" t="s">
        <v>233</v>
      </c>
      <c r="G212" s="28" t="str">
        <f t="shared" si="73"/>
        <v>LATE</v>
      </c>
      <c r="H212" s="31">
        <f t="shared" si="68"/>
        <v>0.28749999999999998</v>
      </c>
      <c r="I212" s="27" t="str">
        <f t="shared" si="74"/>
        <v>NO OT</v>
      </c>
    </row>
    <row r="213" spans="1:9" hidden="1" x14ac:dyDescent="0.25">
      <c r="A213" s="28" t="s">
        <v>111</v>
      </c>
      <c r="B213" s="29">
        <v>46107</v>
      </c>
      <c r="C213" s="30" t="s">
        <v>460</v>
      </c>
      <c r="D213" s="28" t="s">
        <v>544</v>
      </c>
      <c r="E213" s="28" t="s">
        <v>209</v>
      </c>
      <c r="F213" s="28" t="s">
        <v>545</v>
      </c>
      <c r="G213" s="28" t="str">
        <f t="shared" si="73"/>
        <v>LATE</v>
      </c>
      <c r="H213" s="31">
        <f t="shared" si="68"/>
        <v>0.25416666666666671</v>
      </c>
      <c r="I213" s="27" t="str">
        <f t="shared" si="74"/>
        <v>NO OT</v>
      </c>
    </row>
    <row r="214" spans="1:9" hidden="1" x14ac:dyDescent="0.25">
      <c r="A214" s="28" t="s">
        <v>111</v>
      </c>
      <c r="B214" s="29">
        <v>46108</v>
      </c>
      <c r="C214" s="30" t="s">
        <v>461</v>
      </c>
      <c r="D214" s="28" t="s">
        <v>546</v>
      </c>
      <c r="E214" s="28" t="s">
        <v>190</v>
      </c>
      <c r="F214" s="28" t="s">
        <v>394</v>
      </c>
      <c r="G214" s="28" t="str">
        <f t="shared" si="73"/>
        <v>LATE</v>
      </c>
      <c r="H214" s="31">
        <f t="shared" si="68"/>
        <v>0.27638888888888891</v>
      </c>
      <c r="I214" s="27" t="str">
        <f t="shared" si="74"/>
        <v>NO OT</v>
      </c>
    </row>
    <row r="215" spans="1:9" hidden="1" x14ac:dyDescent="0.25">
      <c r="A215" s="28" t="s">
        <v>111</v>
      </c>
      <c r="B215" s="29">
        <v>46109</v>
      </c>
      <c r="C215" s="30" t="s">
        <v>463</v>
      </c>
      <c r="D215" s="28" t="s">
        <v>547</v>
      </c>
      <c r="E215" s="28" t="s">
        <v>214</v>
      </c>
      <c r="F215" s="28" t="s">
        <v>437</v>
      </c>
      <c r="G215" s="28" t="str">
        <f t="shared" si="73"/>
        <v>LATE</v>
      </c>
      <c r="H215" s="31">
        <f t="shared" si="68"/>
        <v>0.27500000000000002</v>
      </c>
      <c r="I215" s="27" t="str">
        <f t="shared" si="74"/>
        <v>NO OT</v>
      </c>
    </row>
    <row r="216" spans="1:9" hidden="1" x14ac:dyDescent="0.25">
      <c r="A216" s="28" t="s">
        <v>111</v>
      </c>
      <c r="B216" s="29">
        <v>46110</v>
      </c>
      <c r="C216" s="60" t="s">
        <v>456</v>
      </c>
      <c r="D216" s="61"/>
      <c r="E216" s="61"/>
      <c r="F216" s="61"/>
      <c r="G216" s="61"/>
      <c r="H216" s="61"/>
      <c r="I216" s="62"/>
    </row>
    <row r="217" spans="1:9" hidden="1" x14ac:dyDescent="0.25">
      <c r="A217" s="28" t="s">
        <v>111</v>
      </c>
      <c r="B217" s="29">
        <v>46111</v>
      </c>
      <c r="C217" s="30" t="s">
        <v>457</v>
      </c>
      <c r="D217" s="28" t="s">
        <v>548</v>
      </c>
      <c r="E217" s="28" t="s">
        <v>12</v>
      </c>
      <c r="F217" s="28" t="s">
        <v>188</v>
      </c>
      <c r="G217" s="28" t="str">
        <f t="shared" ref="G217:G218" si="75">IF(C217="Sunday", "SUNDAY", IF(OR(D217=0, D217="", D217="0:0"), "ABSENT", IF(MOD(D217,1) &gt; TIME(9,45,0), "LATE", "OK")))</f>
        <v>LATE</v>
      </c>
      <c r="H217" s="31">
        <f t="shared" si="68"/>
        <v>-0.50277777777777777</v>
      </c>
      <c r="I217" s="27" t="str">
        <f t="shared" ref="I217:I218" si="76">IF(VALUE(E217) &gt; TIME(19,0,0), TEXT(VALUE(E217) - TIME(19,0,0), "hh:mm"), "NO OT")</f>
        <v>NO OT</v>
      </c>
    </row>
    <row r="218" spans="1:9" hidden="1" x14ac:dyDescent="0.25">
      <c r="A218" s="28" t="s">
        <v>111</v>
      </c>
      <c r="B218" s="29">
        <v>46112</v>
      </c>
      <c r="C218" s="30" t="s">
        <v>458</v>
      </c>
      <c r="D218" s="28" t="s">
        <v>549</v>
      </c>
      <c r="E218" s="28" t="s">
        <v>349</v>
      </c>
      <c r="F218" s="28" t="s">
        <v>550</v>
      </c>
      <c r="G218" s="28" t="str">
        <f t="shared" si="75"/>
        <v>LATE</v>
      </c>
      <c r="H218" s="31">
        <f t="shared" si="68"/>
        <v>0.17430555555555557</v>
      </c>
      <c r="I218" s="27" t="str">
        <f t="shared" si="76"/>
        <v>NO OT</v>
      </c>
    </row>
    <row r="219" spans="1:9" hidden="1" x14ac:dyDescent="0.25">
      <c r="A219" s="28" t="s">
        <v>551</v>
      </c>
      <c r="B219" s="29">
        <v>46082</v>
      </c>
      <c r="C219" s="60" t="s">
        <v>456</v>
      </c>
      <c r="D219" s="61"/>
      <c r="E219" s="61"/>
      <c r="F219" s="61"/>
      <c r="G219" s="61"/>
      <c r="H219" s="61"/>
      <c r="I219" s="62"/>
    </row>
    <row r="220" spans="1:9" hidden="1" x14ac:dyDescent="0.25">
      <c r="A220" s="28" t="s">
        <v>551</v>
      </c>
      <c r="B220" s="29">
        <v>46083</v>
      </c>
      <c r="C220" s="30" t="s">
        <v>457</v>
      </c>
      <c r="D220" s="28" t="s">
        <v>421</v>
      </c>
      <c r="E220" s="28" t="s">
        <v>508</v>
      </c>
      <c r="F220" s="28" t="s">
        <v>289</v>
      </c>
      <c r="G220" s="28" t="str">
        <f t="shared" ref="G220:G225" si="77">IF(C220="Sunday", "SUNDAY", IF(OR(D220=0, D220="", D220="0:0"), "ABSENT", IF(MOD(D220,1) &gt; TIME(9,45,0), "LATE", "OK")))</f>
        <v>OK</v>
      </c>
      <c r="H220" s="31">
        <f t="shared" si="68"/>
        <v>0.28888888888888892</v>
      </c>
      <c r="I220" s="27" t="str">
        <f t="shared" ref="I220:I225" si="78">IF(VALUE(E220) &gt; TIME(19,0,0), TEXT(VALUE(E220) - TIME(19,0,0), "hh:mm"), "NO OT")</f>
        <v>NO OT</v>
      </c>
    </row>
    <row r="221" spans="1:9" hidden="1" x14ac:dyDescent="0.25">
      <c r="A221" s="28" t="s">
        <v>551</v>
      </c>
      <c r="B221" s="29">
        <v>46084</v>
      </c>
      <c r="C221" s="30" t="s">
        <v>458</v>
      </c>
      <c r="D221" s="28" t="s">
        <v>298</v>
      </c>
      <c r="E221" s="28" t="s">
        <v>319</v>
      </c>
      <c r="F221" s="28" t="s">
        <v>294</v>
      </c>
      <c r="G221" s="28" t="str">
        <f t="shared" si="77"/>
        <v>OK</v>
      </c>
      <c r="H221" s="31">
        <f t="shared" si="68"/>
        <v>0.33611111111111108</v>
      </c>
      <c r="I221" s="27" t="str">
        <f t="shared" si="78"/>
        <v>NO OT</v>
      </c>
    </row>
    <row r="222" spans="1:9" hidden="1" x14ac:dyDescent="0.25">
      <c r="A222" s="28" t="s">
        <v>551</v>
      </c>
      <c r="B222" s="29">
        <v>46085</v>
      </c>
      <c r="C222" s="30" t="s">
        <v>459</v>
      </c>
      <c r="D222" s="28" t="s">
        <v>12</v>
      </c>
      <c r="E222" s="28" t="s">
        <v>12</v>
      </c>
      <c r="F222" s="28" t="s">
        <v>12</v>
      </c>
      <c r="G222" s="60" t="s">
        <v>594</v>
      </c>
      <c r="H222" s="61"/>
      <c r="I222" s="62"/>
    </row>
    <row r="223" spans="1:9" hidden="1" x14ac:dyDescent="0.25">
      <c r="A223" s="28" t="s">
        <v>551</v>
      </c>
      <c r="B223" s="29">
        <v>46086</v>
      </c>
      <c r="C223" s="30" t="s">
        <v>460</v>
      </c>
      <c r="D223" s="28" t="s">
        <v>12</v>
      </c>
      <c r="E223" s="28" t="s">
        <v>12</v>
      </c>
      <c r="F223" s="28" t="s">
        <v>12</v>
      </c>
      <c r="G223" s="60" t="str">
        <f t="shared" si="77"/>
        <v>ABSENT</v>
      </c>
      <c r="H223" s="61"/>
      <c r="I223" s="62"/>
    </row>
    <row r="224" spans="1:9" hidden="1" x14ac:dyDescent="0.25">
      <c r="A224" s="28" t="s">
        <v>551</v>
      </c>
      <c r="B224" s="29">
        <v>46087</v>
      </c>
      <c r="C224" s="30" t="s">
        <v>461</v>
      </c>
      <c r="D224" s="28" t="s">
        <v>552</v>
      </c>
      <c r="E224" s="28" t="s">
        <v>207</v>
      </c>
      <c r="F224" s="28" t="s">
        <v>553</v>
      </c>
      <c r="G224" s="28" t="str">
        <f t="shared" si="77"/>
        <v>OK</v>
      </c>
      <c r="H224" s="31">
        <f t="shared" si="68"/>
        <v>0.35347222222222224</v>
      </c>
      <c r="I224" s="27" t="str">
        <f t="shared" si="78"/>
        <v>NO OT</v>
      </c>
    </row>
    <row r="225" spans="1:9" hidden="1" x14ac:dyDescent="0.25">
      <c r="A225" s="28" t="s">
        <v>551</v>
      </c>
      <c r="B225" s="29">
        <v>46088</v>
      </c>
      <c r="C225" s="30" t="s">
        <v>463</v>
      </c>
      <c r="D225" s="28" t="s">
        <v>554</v>
      </c>
      <c r="E225" s="28" t="s">
        <v>274</v>
      </c>
      <c r="F225" s="28" t="s">
        <v>372</v>
      </c>
      <c r="G225" s="28" t="str">
        <f t="shared" si="77"/>
        <v>OK</v>
      </c>
      <c r="H225" s="31">
        <f t="shared" si="68"/>
        <v>0.32708333333333334</v>
      </c>
      <c r="I225" s="27" t="str">
        <f t="shared" si="78"/>
        <v>NO OT</v>
      </c>
    </row>
    <row r="226" spans="1:9" hidden="1" x14ac:dyDescent="0.25">
      <c r="A226" s="28" t="s">
        <v>551</v>
      </c>
      <c r="B226" s="29">
        <v>46089</v>
      </c>
      <c r="C226" s="60" t="s">
        <v>456</v>
      </c>
      <c r="D226" s="61"/>
      <c r="E226" s="61"/>
      <c r="F226" s="61"/>
      <c r="G226" s="61"/>
      <c r="H226" s="61"/>
      <c r="I226" s="62"/>
    </row>
    <row r="227" spans="1:9" hidden="1" x14ac:dyDescent="0.25">
      <c r="A227" s="28" t="s">
        <v>551</v>
      </c>
      <c r="B227" s="29">
        <v>46090</v>
      </c>
      <c r="C227" s="30" t="s">
        <v>457</v>
      </c>
      <c r="D227" s="28" t="s">
        <v>555</v>
      </c>
      <c r="E227" s="28" t="s">
        <v>363</v>
      </c>
      <c r="F227" s="28" t="s">
        <v>556</v>
      </c>
      <c r="G227" s="28" t="str">
        <f t="shared" ref="G227:G232" si="79">IF(C227="Sunday", "SUNDAY", IF(OR(D227=0, D227="", D227="0:0"), "ABSENT", IF(MOD(D227,1) &gt; TIME(9,45,0), "LATE", "OK")))</f>
        <v>OK</v>
      </c>
      <c r="H227" s="31">
        <f t="shared" si="68"/>
        <v>0.34861111111111104</v>
      </c>
      <c r="I227" s="27" t="str">
        <f t="shared" ref="I227:I232" si="80">IF(VALUE(E227) &gt; TIME(19,0,0), TEXT(VALUE(E227) - TIME(19,0,0), "hh:mm"), "NO OT")</f>
        <v>NO OT</v>
      </c>
    </row>
    <row r="228" spans="1:9" hidden="1" x14ac:dyDescent="0.25">
      <c r="A228" s="28" t="s">
        <v>551</v>
      </c>
      <c r="B228" s="29">
        <v>46091</v>
      </c>
      <c r="C228" s="30" t="s">
        <v>458</v>
      </c>
      <c r="D228" s="28" t="s">
        <v>557</v>
      </c>
      <c r="E228" s="28" t="s">
        <v>356</v>
      </c>
      <c r="F228" s="28" t="s">
        <v>449</v>
      </c>
      <c r="G228" s="28" t="str">
        <f t="shared" si="79"/>
        <v>OK</v>
      </c>
      <c r="H228" s="31">
        <f t="shared" si="68"/>
        <v>0.34374999999999994</v>
      </c>
      <c r="I228" s="27" t="str">
        <f t="shared" si="80"/>
        <v>NO OT</v>
      </c>
    </row>
    <row r="229" spans="1:9" hidden="1" x14ac:dyDescent="0.25">
      <c r="A229" s="28" t="s">
        <v>551</v>
      </c>
      <c r="B229" s="29">
        <v>46092</v>
      </c>
      <c r="C229" s="30" t="s">
        <v>459</v>
      </c>
      <c r="D229" s="28" t="s">
        <v>421</v>
      </c>
      <c r="E229" s="28" t="s">
        <v>227</v>
      </c>
      <c r="F229" s="28" t="s">
        <v>335</v>
      </c>
      <c r="G229" s="28" t="str">
        <f t="shared" si="79"/>
        <v>OK</v>
      </c>
      <c r="H229" s="31">
        <f t="shared" si="68"/>
        <v>0.3118055555555555</v>
      </c>
      <c r="I229" s="27" t="str">
        <f t="shared" si="80"/>
        <v>NO OT</v>
      </c>
    </row>
    <row r="230" spans="1:9" hidden="1" x14ac:dyDescent="0.25">
      <c r="A230" s="28" t="s">
        <v>551</v>
      </c>
      <c r="B230" s="29">
        <v>46093</v>
      </c>
      <c r="C230" s="30" t="s">
        <v>460</v>
      </c>
      <c r="D230" s="28" t="s">
        <v>558</v>
      </c>
      <c r="E230" s="28" t="s">
        <v>339</v>
      </c>
      <c r="F230" s="28" t="s">
        <v>304</v>
      </c>
      <c r="G230" s="28" t="str">
        <f t="shared" si="79"/>
        <v>OK</v>
      </c>
      <c r="H230" s="31">
        <f t="shared" si="68"/>
        <v>0.34583333333333327</v>
      </c>
      <c r="I230" s="27" t="str">
        <f t="shared" si="80"/>
        <v>NO OT</v>
      </c>
    </row>
    <row r="231" spans="1:9" hidden="1" x14ac:dyDescent="0.25">
      <c r="A231" s="28" t="s">
        <v>551</v>
      </c>
      <c r="B231" s="29">
        <v>46094</v>
      </c>
      <c r="C231" s="30" t="s">
        <v>461</v>
      </c>
      <c r="D231" s="28" t="s">
        <v>189</v>
      </c>
      <c r="E231" s="28" t="s">
        <v>519</v>
      </c>
      <c r="F231" s="28" t="s">
        <v>526</v>
      </c>
      <c r="G231" s="28" t="str">
        <f t="shared" si="79"/>
        <v>OK</v>
      </c>
      <c r="H231" s="31">
        <f t="shared" si="68"/>
        <v>0.30208333333333331</v>
      </c>
      <c r="I231" s="27" t="str">
        <f t="shared" si="80"/>
        <v>NO OT</v>
      </c>
    </row>
    <row r="232" spans="1:9" hidden="1" x14ac:dyDescent="0.25">
      <c r="A232" s="28" t="s">
        <v>551</v>
      </c>
      <c r="B232" s="29">
        <v>46095</v>
      </c>
      <c r="C232" s="30" t="s">
        <v>463</v>
      </c>
      <c r="D232" s="28" t="s">
        <v>371</v>
      </c>
      <c r="E232" s="28" t="s">
        <v>471</v>
      </c>
      <c r="F232" s="28" t="s">
        <v>436</v>
      </c>
      <c r="G232" s="28" t="str">
        <f t="shared" si="79"/>
        <v>OK</v>
      </c>
      <c r="H232" s="31">
        <f t="shared" si="68"/>
        <v>0.27708333333333335</v>
      </c>
      <c r="I232" s="27" t="str">
        <f t="shared" si="80"/>
        <v>NO OT</v>
      </c>
    </row>
    <row r="233" spans="1:9" hidden="1" x14ac:dyDescent="0.25">
      <c r="A233" s="28" t="s">
        <v>551</v>
      </c>
      <c r="B233" s="29">
        <v>46096</v>
      </c>
      <c r="C233" s="60" t="s">
        <v>456</v>
      </c>
      <c r="D233" s="61"/>
      <c r="E233" s="61"/>
      <c r="F233" s="61"/>
      <c r="G233" s="61"/>
      <c r="H233" s="61"/>
      <c r="I233" s="62"/>
    </row>
    <row r="234" spans="1:9" hidden="1" x14ac:dyDescent="0.25">
      <c r="A234" s="28" t="s">
        <v>551</v>
      </c>
      <c r="B234" s="29">
        <v>46097</v>
      </c>
      <c r="C234" s="30" t="s">
        <v>457</v>
      </c>
      <c r="D234" s="28" t="s">
        <v>422</v>
      </c>
      <c r="E234" s="28" t="s">
        <v>521</v>
      </c>
      <c r="F234" s="28" t="s">
        <v>248</v>
      </c>
      <c r="G234" s="28" t="str">
        <f t="shared" ref="G234:G238" si="81">IF(C234="Sunday", "SUNDAY", IF(OR(D234=0, D234="", D234="0:0"), "ABSENT", IF(MOD(D234,1) &gt; TIME(9,45,0), "LATE", "OK")))</f>
        <v>OK</v>
      </c>
      <c r="H234" s="31">
        <f t="shared" si="68"/>
        <v>0.33749999999999997</v>
      </c>
      <c r="I234" s="27" t="str">
        <f t="shared" ref="I234:I238" si="82">IF(VALUE(E234) &gt; TIME(19,0,0), TEXT(VALUE(E234) - TIME(19,0,0), "hh:mm"), "NO OT")</f>
        <v>NO OT</v>
      </c>
    </row>
    <row r="235" spans="1:9" hidden="1" x14ac:dyDescent="0.25">
      <c r="A235" s="28" t="s">
        <v>551</v>
      </c>
      <c r="B235" s="29">
        <v>46098</v>
      </c>
      <c r="C235" s="30" t="s">
        <v>458</v>
      </c>
      <c r="D235" s="28" t="s">
        <v>559</v>
      </c>
      <c r="E235" s="28" t="s">
        <v>267</v>
      </c>
      <c r="F235" s="28" t="s">
        <v>560</v>
      </c>
      <c r="G235" s="28" t="str">
        <f t="shared" si="81"/>
        <v>OK</v>
      </c>
      <c r="H235" s="31">
        <f t="shared" si="68"/>
        <v>0.35763888888888895</v>
      </c>
      <c r="I235" s="27" t="str">
        <f t="shared" si="82"/>
        <v>NO OT</v>
      </c>
    </row>
    <row r="236" spans="1:9" hidden="1" x14ac:dyDescent="0.25">
      <c r="A236" s="28" t="s">
        <v>551</v>
      </c>
      <c r="B236" s="29">
        <v>46099</v>
      </c>
      <c r="C236" s="30" t="s">
        <v>459</v>
      </c>
      <c r="D236" s="28" t="s">
        <v>561</v>
      </c>
      <c r="E236" s="28" t="s">
        <v>12</v>
      </c>
      <c r="F236" s="28" t="s">
        <v>188</v>
      </c>
      <c r="G236" s="28" t="str">
        <f t="shared" si="81"/>
        <v>OK</v>
      </c>
      <c r="H236" s="31">
        <f t="shared" si="68"/>
        <v>-0.40902777777777782</v>
      </c>
      <c r="I236" s="27" t="str">
        <f t="shared" si="82"/>
        <v>NO OT</v>
      </c>
    </row>
    <row r="237" spans="1:9" hidden="1" x14ac:dyDescent="0.25">
      <c r="A237" s="28" t="s">
        <v>551</v>
      </c>
      <c r="B237" s="29">
        <v>46100</v>
      </c>
      <c r="C237" s="30" t="s">
        <v>460</v>
      </c>
      <c r="D237" s="28" t="s">
        <v>558</v>
      </c>
      <c r="E237" s="28" t="s">
        <v>432</v>
      </c>
      <c r="F237" s="28" t="s">
        <v>257</v>
      </c>
      <c r="G237" s="28" t="str">
        <f t="shared" si="81"/>
        <v>OK</v>
      </c>
      <c r="H237" s="31">
        <f t="shared" si="68"/>
        <v>0.3298611111111111</v>
      </c>
      <c r="I237" s="27" t="str">
        <f t="shared" si="82"/>
        <v>NO OT</v>
      </c>
    </row>
    <row r="238" spans="1:9" hidden="1" x14ac:dyDescent="0.25">
      <c r="A238" s="28" t="s">
        <v>551</v>
      </c>
      <c r="B238" s="29">
        <v>46101</v>
      </c>
      <c r="C238" s="30" t="s">
        <v>461</v>
      </c>
      <c r="D238" s="28" t="s">
        <v>562</v>
      </c>
      <c r="E238" s="28" t="s">
        <v>563</v>
      </c>
      <c r="F238" s="28" t="s">
        <v>564</v>
      </c>
      <c r="G238" s="28" t="str">
        <f t="shared" si="81"/>
        <v>OK</v>
      </c>
      <c r="H238" s="31">
        <f t="shared" si="68"/>
        <v>0.20625000000000002</v>
      </c>
      <c r="I238" s="27" t="str">
        <f t="shared" si="82"/>
        <v>NO OT</v>
      </c>
    </row>
    <row r="239" spans="1:9" hidden="1" x14ac:dyDescent="0.25">
      <c r="A239" s="28" t="s">
        <v>551</v>
      </c>
      <c r="B239" s="29">
        <v>46102</v>
      </c>
      <c r="C239" s="30" t="s">
        <v>463</v>
      </c>
      <c r="D239" s="28" t="s">
        <v>12</v>
      </c>
      <c r="E239" s="28" t="s">
        <v>12</v>
      </c>
      <c r="F239" s="28" t="s">
        <v>12</v>
      </c>
      <c r="G239" s="60" t="s">
        <v>592</v>
      </c>
      <c r="H239" s="61"/>
      <c r="I239" s="62"/>
    </row>
    <row r="240" spans="1:9" hidden="1" x14ac:dyDescent="0.25">
      <c r="A240" s="28" t="s">
        <v>551</v>
      </c>
      <c r="B240" s="29">
        <v>46103</v>
      </c>
      <c r="C240" s="60" t="s">
        <v>456</v>
      </c>
      <c r="D240" s="61"/>
      <c r="E240" s="61"/>
      <c r="F240" s="61"/>
      <c r="G240" s="61"/>
      <c r="H240" s="61"/>
      <c r="I240" s="62"/>
    </row>
    <row r="241" spans="1:9" hidden="1" x14ac:dyDescent="0.25">
      <c r="A241" s="28" t="s">
        <v>551</v>
      </c>
      <c r="B241" s="29">
        <v>46104</v>
      </c>
      <c r="C241" s="30" t="s">
        <v>457</v>
      </c>
      <c r="D241" s="28" t="s">
        <v>565</v>
      </c>
      <c r="E241" s="28" t="s">
        <v>566</v>
      </c>
      <c r="F241" s="28" t="s">
        <v>273</v>
      </c>
      <c r="G241" s="28" t="str">
        <f t="shared" ref="G241:G246" si="83">IF(C241="Sunday", "SUNDAY", IF(OR(D241=0, D241="", D241="0:0"), "ABSENT", IF(MOD(D241,1) &gt; TIME(9,45,0), "LATE", "OK")))</f>
        <v>OK</v>
      </c>
      <c r="H241" s="31">
        <f t="shared" si="68"/>
        <v>0.30277777777777781</v>
      </c>
      <c r="I241" s="27" t="str">
        <f t="shared" ref="I241:I246" si="84">IF(VALUE(E241) &gt; TIME(19,0,0), TEXT(VALUE(E241) - TIME(19,0,0), "hh:mm"), "NO OT")</f>
        <v>NO OT</v>
      </c>
    </row>
    <row r="242" spans="1:9" hidden="1" x14ac:dyDescent="0.25">
      <c r="A242" s="28" t="s">
        <v>551</v>
      </c>
      <c r="B242" s="29">
        <v>46105</v>
      </c>
      <c r="C242" s="30" t="s">
        <v>458</v>
      </c>
      <c r="D242" s="28" t="s">
        <v>552</v>
      </c>
      <c r="E242" s="28" t="s">
        <v>292</v>
      </c>
      <c r="F242" s="28" t="s">
        <v>567</v>
      </c>
      <c r="G242" s="28" t="str">
        <f t="shared" si="83"/>
        <v>OK</v>
      </c>
      <c r="H242" s="31">
        <f t="shared" si="68"/>
        <v>0.35416666666666669</v>
      </c>
      <c r="I242" s="27" t="str">
        <f t="shared" si="84"/>
        <v>NO OT</v>
      </c>
    </row>
    <row r="243" spans="1:9" hidden="1" x14ac:dyDescent="0.25">
      <c r="A243" s="28" t="s">
        <v>551</v>
      </c>
      <c r="B243" s="29">
        <v>46106</v>
      </c>
      <c r="C243" s="30" t="s">
        <v>459</v>
      </c>
      <c r="D243" s="28" t="s">
        <v>568</v>
      </c>
      <c r="E243" s="28" t="s">
        <v>190</v>
      </c>
      <c r="F243" s="28" t="s">
        <v>407</v>
      </c>
      <c r="G243" s="28" t="str">
        <f t="shared" si="83"/>
        <v>OK</v>
      </c>
      <c r="H243" s="31">
        <f t="shared" si="68"/>
        <v>0.36180555555555555</v>
      </c>
      <c r="I243" s="27" t="str">
        <f t="shared" si="84"/>
        <v>NO OT</v>
      </c>
    </row>
    <row r="244" spans="1:9" hidden="1" x14ac:dyDescent="0.25">
      <c r="A244" s="28" t="s">
        <v>551</v>
      </c>
      <c r="B244" s="29">
        <v>46107</v>
      </c>
      <c r="C244" s="30" t="s">
        <v>460</v>
      </c>
      <c r="D244" s="28" t="s">
        <v>569</v>
      </c>
      <c r="E244" s="28" t="s">
        <v>207</v>
      </c>
      <c r="F244" s="28" t="s">
        <v>570</v>
      </c>
      <c r="G244" s="28" t="str">
        <f t="shared" si="83"/>
        <v>OK</v>
      </c>
      <c r="H244" s="31">
        <f t="shared" si="68"/>
        <v>0.35972222222222228</v>
      </c>
      <c r="I244" s="27" t="str">
        <f t="shared" si="84"/>
        <v>NO OT</v>
      </c>
    </row>
    <row r="245" spans="1:9" hidden="1" x14ac:dyDescent="0.25">
      <c r="A245" s="28" t="s">
        <v>551</v>
      </c>
      <c r="B245" s="29">
        <v>46108</v>
      </c>
      <c r="C245" s="30" t="s">
        <v>461</v>
      </c>
      <c r="D245" s="28" t="s">
        <v>565</v>
      </c>
      <c r="E245" s="28" t="s">
        <v>217</v>
      </c>
      <c r="F245" s="28" t="s">
        <v>571</v>
      </c>
      <c r="G245" s="28" t="str">
        <f t="shared" si="83"/>
        <v>OK</v>
      </c>
      <c r="H245" s="31">
        <f t="shared" si="68"/>
        <v>0.37013888888888891</v>
      </c>
      <c r="I245" s="27" t="str">
        <f t="shared" si="84"/>
        <v>NO OT</v>
      </c>
    </row>
    <row r="246" spans="1:9" hidden="1" x14ac:dyDescent="0.25">
      <c r="A246" s="28" t="s">
        <v>551</v>
      </c>
      <c r="B246" s="29">
        <v>46109</v>
      </c>
      <c r="C246" s="30" t="s">
        <v>463</v>
      </c>
      <c r="D246" s="28" t="s">
        <v>572</v>
      </c>
      <c r="E246" s="28" t="s">
        <v>292</v>
      </c>
      <c r="F246" s="28" t="s">
        <v>573</v>
      </c>
      <c r="G246" s="28" t="str">
        <f t="shared" si="83"/>
        <v>OK</v>
      </c>
      <c r="H246" s="31">
        <f t="shared" si="68"/>
        <v>0.36111111111111116</v>
      </c>
      <c r="I246" s="27" t="str">
        <f t="shared" si="84"/>
        <v>NO OT</v>
      </c>
    </row>
    <row r="247" spans="1:9" hidden="1" x14ac:dyDescent="0.25">
      <c r="A247" s="28" t="s">
        <v>551</v>
      </c>
      <c r="B247" s="29">
        <v>46110</v>
      </c>
      <c r="C247" s="60" t="s">
        <v>456</v>
      </c>
      <c r="D247" s="61"/>
      <c r="E247" s="61"/>
      <c r="F247" s="61"/>
      <c r="G247" s="61"/>
      <c r="H247" s="61"/>
      <c r="I247" s="62"/>
    </row>
    <row r="248" spans="1:9" hidden="1" x14ac:dyDescent="0.25">
      <c r="A248" s="28" t="s">
        <v>551</v>
      </c>
      <c r="B248" s="29">
        <v>46111</v>
      </c>
      <c r="C248" s="30" t="s">
        <v>457</v>
      </c>
      <c r="D248" s="28" t="s">
        <v>559</v>
      </c>
      <c r="E248" s="28" t="s">
        <v>209</v>
      </c>
      <c r="F248" s="28" t="s">
        <v>407</v>
      </c>
      <c r="G248" s="28" t="str">
        <f t="shared" ref="G248:G249" si="85">IF(C248="Sunday", "SUNDAY", IF(OR(D248=0, D248="", D248="0:0"), "ABSENT", IF(MOD(D248,1) &gt; TIME(9,45,0), "LATE", "OK")))</f>
        <v>OK</v>
      </c>
      <c r="H248" s="31">
        <f t="shared" si="68"/>
        <v>0.3618055555555556</v>
      </c>
      <c r="I248" s="27" t="str">
        <f t="shared" ref="I248:I249" si="86">IF(VALUE(E248) &gt; TIME(19,0,0), TEXT(VALUE(E248) - TIME(19,0,0), "hh:mm"), "NO OT")</f>
        <v>NO OT</v>
      </c>
    </row>
    <row r="249" spans="1:9" hidden="1" x14ac:dyDescent="0.25">
      <c r="A249" s="28" t="s">
        <v>551</v>
      </c>
      <c r="B249" s="29">
        <v>46112</v>
      </c>
      <c r="C249" s="30" t="s">
        <v>458</v>
      </c>
      <c r="D249" s="28" t="s">
        <v>574</v>
      </c>
      <c r="E249" s="28" t="s">
        <v>217</v>
      </c>
      <c r="F249" s="28" t="s">
        <v>575</v>
      </c>
      <c r="G249" s="28" t="str">
        <f t="shared" si="85"/>
        <v>OK</v>
      </c>
      <c r="H249" s="31">
        <f t="shared" si="68"/>
        <v>0.37291666666666667</v>
      </c>
      <c r="I249" s="27" t="str">
        <f t="shared" si="86"/>
        <v>NO OT</v>
      </c>
    </row>
    <row r="250" spans="1:9" hidden="1" x14ac:dyDescent="0.25">
      <c r="A250" s="28" t="s">
        <v>576</v>
      </c>
      <c r="B250" s="29">
        <v>46082</v>
      </c>
      <c r="C250" s="60" t="s">
        <v>456</v>
      </c>
      <c r="D250" s="61"/>
      <c r="E250" s="61"/>
      <c r="F250" s="61"/>
      <c r="G250" s="61"/>
      <c r="H250" s="61"/>
      <c r="I250" s="62"/>
    </row>
    <row r="251" spans="1:9" hidden="1" x14ac:dyDescent="0.25">
      <c r="A251" s="28" t="s">
        <v>576</v>
      </c>
      <c r="B251" s="29">
        <v>46083</v>
      </c>
      <c r="C251" s="30" t="s">
        <v>457</v>
      </c>
      <c r="D251" s="28" t="s">
        <v>185</v>
      </c>
      <c r="E251" s="28" t="s">
        <v>577</v>
      </c>
      <c r="F251" s="28" t="s">
        <v>578</v>
      </c>
      <c r="G251" s="28" t="str">
        <f t="shared" ref="G251:G256" si="87">IF(C251="Sunday", "SUNDAY", IF(OR(D251=0, D251="", D251="0:0"), "ABSENT", IF(MOD(D251,1) &gt; TIME(9,45,0), "LATE", "OK")))</f>
        <v>LATE</v>
      </c>
      <c r="H251" s="31">
        <f t="shared" si="68"/>
        <v>0.19583333333333333</v>
      </c>
      <c r="I251" s="27" t="str">
        <f t="shared" ref="I251:I256" si="88">IF(VALUE(E251) &gt; TIME(19,0,0), TEXT(VALUE(E251) - TIME(19,0,0), "hh:mm"), "NO OT")</f>
        <v>NO OT</v>
      </c>
    </row>
    <row r="252" spans="1:9" hidden="1" x14ac:dyDescent="0.25">
      <c r="A252" s="28" t="s">
        <v>576</v>
      </c>
      <c r="B252" s="29">
        <v>46084</v>
      </c>
      <c r="C252" s="30" t="s">
        <v>458</v>
      </c>
      <c r="D252" s="28" t="s">
        <v>12</v>
      </c>
      <c r="E252" s="28" t="s">
        <v>12</v>
      </c>
      <c r="F252" s="28" t="s">
        <v>12</v>
      </c>
      <c r="G252" s="60" t="str">
        <f t="shared" si="87"/>
        <v>ABSENT</v>
      </c>
      <c r="H252" s="61"/>
      <c r="I252" s="62"/>
    </row>
    <row r="253" spans="1:9" hidden="1" x14ac:dyDescent="0.25">
      <c r="A253" s="28" t="s">
        <v>576</v>
      </c>
      <c r="B253" s="29">
        <v>46085</v>
      </c>
      <c r="C253" s="30" t="s">
        <v>459</v>
      </c>
      <c r="D253" s="28" t="s">
        <v>12</v>
      </c>
      <c r="E253" s="28" t="s">
        <v>12</v>
      </c>
      <c r="F253" s="28" t="s">
        <v>12</v>
      </c>
      <c r="G253" s="60" t="s">
        <v>594</v>
      </c>
      <c r="H253" s="61"/>
      <c r="I253" s="62"/>
    </row>
    <row r="254" spans="1:9" hidden="1" x14ac:dyDescent="0.25">
      <c r="A254" s="28" t="s">
        <v>576</v>
      </c>
      <c r="B254" s="29">
        <v>46086</v>
      </c>
      <c r="C254" s="30" t="s">
        <v>460</v>
      </c>
      <c r="D254" s="28" t="s">
        <v>492</v>
      </c>
      <c r="E254" s="28" t="s">
        <v>434</v>
      </c>
      <c r="F254" s="28" t="s">
        <v>437</v>
      </c>
      <c r="G254" s="28" t="str">
        <f t="shared" si="87"/>
        <v>LATE</v>
      </c>
      <c r="H254" s="31">
        <f t="shared" si="68"/>
        <v>0.27500000000000002</v>
      </c>
      <c r="I254" s="27" t="str">
        <f t="shared" si="88"/>
        <v>NO OT</v>
      </c>
    </row>
    <row r="255" spans="1:9" hidden="1" x14ac:dyDescent="0.25">
      <c r="A255" s="28" t="s">
        <v>576</v>
      </c>
      <c r="B255" s="29">
        <v>46087</v>
      </c>
      <c r="C255" s="30" t="s">
        <v>461</v>
      </c>
      <c r="D255" s="28" t="s">
        <v>529</v>
      </c>
      <c r="E255" s="28" t="s">
        <v>425</v>
      </c>
      <c r="F255" s="28" t="s">
        <v>246</v>
      </c>
      <c r="G255" s="28" t="str">
        <f t="shared" si="87"/>
        <v>LATE</v>
      </c>
      <c r="H255" s="31">
        <f t="shared" si="68"/>
        <v>0.27361111111111108</v>
      </c>
      <c r="I255" s="27" t="str">
        <f t="shared" si="88"/>
        <v>NO OT</v>
      </c>
    </row>
    <row r="256" spans="1:9" hidden="1" x14ac:dyDescent="0.25">
      <c r="A256" s="28" t="s">
        <v>576</v>
      </c>
      <c r="B256" s="29">
        <v>46088</v>
      </c>
      <c r="C256" s="30" t="s">
        <v>463</v>
      </c>
      <c r="D256" s="28" t="s">
        <v>511</v>
      </c>
      <c r="E256" s="28" t="s">
        <v>12</v>
      </c>
      <c r="F256" s="28" t="s">
        <v>188</v>
      </c>
      <c r="G256" s="28" t="str">
        <f t="shared" si="87"/>
        <v>LATE</v>
      </c>
      <c r="H256" s="31">
        <f t="shared" si="68"/>
        <v>-0.46250000000000002</v>
      </c>
      <c r="I256" s="27" t="str">
        <f t="shared" si="88"/>
        <v>NO OT</v>
      </c>
    </row>
    <row r="257" spans="1:9" hidden="1" x14ac:dyDescent="0.25">
      <c r="A257" s="28" t="s">
        <v>576</v>
      </c>
      <c r="B257" s="29">
        <v>46089</v>
      </c>
      <c r="C257" s="60" t="s">
        <v>456</v>
      </c>
      <c r="D257" s="61"/>
      <c r="E257" s="61"/>
      <c r="F257" s="61"/>
      <c r="G257" s="61"/>
      <c r="H257" s="61"/>
      <c r="I257" s="62"/>
    </row>
    <row r="258" spans="1:9" hidden="1" x14ac:dyDescent="0.25">
      <c r="A258" s="28" t="s">
        <v>576</v>
      </c>
      <c r="B258" s="29">
        <v>46090</v>
      </c>
      <c r="C258" s="30" t="s">
        <v>457</v>
      </c>
      <c r="D258" s="28" t="s">
        <v>183</v>
      </c>
      <c r="E258" s="28" t="s">
        <v>238</v>
      </c>
      <c r="F258" s="28" t="s">
        <v>385</v>
      </c>
      <c r="G258" s="28" t="str">
        <f t="shared" ref="G258:G263" si="89">IF(C258="Sunday", "SUNDAY", IF(OR(D258=0, D258="", D258="0:0"), "ABSENT", IF(MOD(D258,1) &gt; TIME(9,45,0), "LATE", "OK")))</f>
        <v>LATE</v>
      </c>
      <c r="H258" s="31">
        <f t="shared" si="68"/>
        <v>0.26944444444444449</v>
      </c>
      <c r="I258" s="27" t="str">
        <f t="shared" ref="I258:I263" si="90">IF(VALUE(E258) &gt; TIME(19,0,0), TEXT(VALUE(E258) - TIME(19,0,0), "hh:mm"), "NO OT")</f>
        <v>NO OT</v>
      </c>
    </row>
    <row r="259" spans="1:9" hidden="1" x14ac:dyDescent="0.25">
      <c r="A259" s="28" t="s">
        <v>576</v>
      </c>
      <c r="B259" s="29">
        <v>46091</v>
      </c>
      <c r="C259" s="30" t="s">
        <v>458</v>
      </c>
      <c r="D259" s="28" t="s">
        <v>186</v>
      </c>
      <c r="E259" s="28" t="s">
        <v>540</v>
      </c>
      <c r="F259" s="28" t="s">
        <v>579</v>
      </c>
      <c r="G259" s="28" t="str">
        <f t="shared" si="89"/>
        <v>LATE</v>
      </c>
      <c r="H259" s="31">
        <f t="shared" si="68"/>
        <v>0.2729166666666667</v>
      </c>
      <c r="I259" s="27" t="str">
        <f t="shared" si="90"/>
        <v>NO OT</v>
      </c>
    </row>
    <row r="260" spans="1:9" hidden="1" x14ac:dyDescent="0.25">
      <c r="A260" s="28" t="s">
        <v>576</v>
      </c>
      <c r="B260" s="29">
        <v>46092</v>
      </c>
      <c r="C260" s="30" t="s">
        <v>459</v>
      </c>
      <c r="D260" s="28" t="s">
        <v>165</v>
      </c>
      <c r="E260" s="28" t="s">
        <v>440</v>
      </c>
      <c r="F260" s="28" t="s">
        <v>400</v>
      </c>
      <c r="G260" s="28" t="str">
        <f t="shared" si="89"/>
        <v>LATE</v>
      </c>
      <c r="H260" s="31">
        <f t="shared" ref="H260:H311" si="91">IF(OR(D260=0, D260="", E260=0, E260=""), 0, (E260-D260)-TIME(1,0,0))</f>
        <v>0.26736111111111105</v>
      </c>
      <c r="I260" s="27" t="str">
        <f t="shared" si="90"/>
        <v>NO OT</v>
      </c>
    </row>
    <row r="261" spans="1:9" hidden="1" x14ac:dyDescent="0.25">
      <c r="A261" s="28" t="s">
        <v>576</v>
      </c>
      <c r="B261" s="29">
        <v>46093</v>
      </c>
      <c r="C261" s="30" t="s">
        <v>460</v>
      </c>
      <c r="D261" s="28" t="s">
        <v>83</v>
      </c>
      <c r="E261" s="28" t="s">
        <v>482</v>
      </c>
      <c r="F261" s="28" t="s">
        <v>580</v>
      </c>
      <c r="G261" s="28" t="str">
        <f t="shared" si="89"/>
        <v>LATE</v>
      </c>
      <c r="H261" s="31">
        <f t="shared" si="91"/>
        <v>0.24097222222222223</v>
      </c>
      <c r="I261" s="27" t="str">
        <f t="shared" si="90"/>
        <v>NO OT</v>
      </c>
    </row>
    <row r="262" spans="1:9" hidden="1" x14ac:dyDescent="0.25">
      <c r="A262" s="28" t="s">
        <v>576</v>
      </c>
      <c r="B262" s="29">
        <v>46094</v>
      </c>
      <c r="C262" s="30" t="s">
        <v>461</v>
      </c>
      <c r="D262" s="28" t="s">
        <v>581</v>
      </c>
      <c r="E262" s="28" t="s">
        <v>525</v>
      </c>
      <c r="F262" s="28" t="s">
        <v>439</v>
      </c>
      <c r="G262" s="28" t="str">
        <f t="shared" si="89"/>
        <v>LATE</v>
      </c>
      <c r="H262" s="31">
        <f t="shared" si="91"/>
        <v>0.26805555555555555</v>
      </c>
      <c r="I262" s="27" t="str">
        <f t="shared" si="90"/>
        <v>NO OT</v>
      </c>
    </row>
    <row r="263" spans="1:9" hidden="1" x14ac:dyDescent="0.25">
      <c r="A263" s="28" t="s">
        <v>576</v>
      </c>
      <c r="B263" s="29">
        <v>46095</v>
      </c>
      <c r="C263" s="30" t="s">
        <v>463</v>
      </c>
      <c r="D263" s="28" t="s">
        <v>184</v>
      </c>
      <c r="E263" s="28" t="s">
        <v>582</v>
      </c>
      <c r="F263" s="28" t="s">
        <v>401</v>
      </c>
      <c r="G263" s="28" t="str">
        <f t="shared" si="89"/>
        <v>LATE</v>
      </c>
      <c r="H263" s="31">
        <f t="shared" si="91"/>
        <v>0.25624999999999992</v>
      </c>
      <c r="I263" s="27" t="str">
        <f t="shared" si="90"/>
        <v>NO OT</v>
      </c>
    </row>
    <row r="264" spans="1:9" hidden="1" x14ac:dyDescent="0.25">
      <c r="A264" s="28" t="s">
        <v>576</v>
      </c>
      <c r="B264" s="29">
        <v>46096</v>
      </c>
      <c r="C264" s="60" t="s">
        <v>456</v>
      </c>
      <c r="D264" s="61"/>
      <c r="E264" s="61"/>
      <c r="F264" s="61"/>
      <c r="G264" s="61"/>
      <c r="H264" s="61"/>
      <c r="I264" s="62"/>
    </row>
    <row r="265" spans="1:9" hidden="1" x14ac:dyDescent="0.25">
      <c r="A265" s="28" t="s">
        <v>576</v>
      </c>
      <c r="B265" s="29">
        <v>46097</v>
      </c>
      <c r="C265" s="30" t="s">
        <v>457</v>
      </c>
      <c r="D265" s="28" t="s">
        <v>12</v>
      </c>
      <c r="E265" s="28" t="s">
        <v>12</v>
      </c>
      <c r="F265" s="28" t="s">
        <v>12</v>
      </c>
      <c r="G265" s="60" t="str">
        <f t="shared" ref="G265" si="92">IF(C265="Sunday", "SUNDAY", IF(OR(D265=0, D265="", D265="0:0"), "ABSENT", IF(MOD(D265,1) &gt; TIME(9,45,0), "LATE", "OK")))</f>
        <v>ABSENT</v>
      </c>
      <c r="H265" s="61"/>
      <c r="I265" s="62"/>
    </row>
    <row r="266" spans="1:9" hidden="1" x14ac:dyDescent="0.25">
      <c r="A266" s="28" t="s">
        <v>576</v>
      </c>
      <c r="B266" s="29">
        <v>46098</v>
      </c>
      <c r="C266" s="30" t="s">
        <v>458</v>
      </c>
      <c r="D266" s="28" t="s">
        <v>186</v>
      </c>
      <c r="E266" s="28" t="s">
        <v>468</v>
      </c>
      <c r="F266" s="28" t="s">
        <v>439</v>
      </c>
      <c r="G266" s="28" t="str">
        <f t="shared" ref="G266:G269" si="93">IF(C266="Sunday", "SUNDAY", IF(OR(D266=0, D266="", D266="0:0"), "ABSENT", IF(MOD(D266,1) &gt; TIME(9,45,0), "LATE", "OK")))</f>
        <v>LATE</v>
      </c>
      <c r="H266" s="31">
        <f t="shared" si="91"/>
        <v>0.2680555555555556</v>
      </c>
      <c r="I266" s="27" t="str">
        <f t="shared" ref="I266:I269" si="94">IF(VALUE(E266) &gt; TIME(19,0,0), TEXT(VALUE(E266) - TIME(19,0,0), "hh:mm"), "NO OT")</f>
        <v>NO OT</v>
      </c>
    </row>
    <row r="267" spans="1:9" hidden="1" x14ac:dyDescent="0.25">
      <c r="A267" s="28" t="s">
        <v>576</v>
      </c>
      <c r="B267" s="29">
        <v>46099</v>
      </c>
      <c r="C267" s="30" t="s">
        <v>459</v>
      </c>
      <c r="D267" s="28" t="s">
        <v>163</v>
      </c>
      <c r="E267" s="28" t="s">
        <v>533</v>
      </c>
      <c r="F267" s="28" t="s">
        <v>583</v>
      </c>
      <c r="G267" s="28" t="str">
        <f t="shared" si="93"/>
        <v>LATE</v>
      </c>
      <c r="H267" s="31">
        <f t="shared" si="91"/>
        <v>0.25833333333333325</v>
      </c>
      <c r="I267" s="27" t="str">
        <f t="shared" si="94"/>
        <v>NO OT</v>
      </c>
    </row>
    <row r="268" spans="1:9" hidden="1" x14ac:dyDescent="0.25">
      <c r="A268" s="28" t="s">
        <v>576</v>
      </c>
      <c r="B268" s="29">
        <v>46100</v>
      </c>
      <c r="C268" s="30" t="s">
        <v>460</v>
      </c>
      <c r="D268" s="28" t="s">
        <v>137</v>
      </c>
      <c r="E268" s="28" t="s">
        <v>241</v>
      </c>
      <c r="F268" s="28" t="s">
        <v>426</v>
      </c>
      <c r="G268" s="28" t="str">
        <f t="shared" si="93"/>
        <v>LATE</v>
      </c>
      <c r="H268" s="31">
        <f t="shared" si="91"/>
        <v>0.2590277777777778</v>
      </c>
      <c r="I268" s="27" t="str">
        <f t="shared" si="94"/>
        <v>NO OT</v>
      </c>
    </row>
    <row r="269" spans="1:9" hidden="1" x14ac:dyDescent="0.25">
      <c r="A269" s="28" t="s">
        <v>576</v>
      </c>
      <c r="B269" s="29">
        <v>46101</v>
      </c>
      <c r="C269" s="30" t="s">
        <v>461</v>
      </c>
      <c r="D269" s="28" t="s">
        <v>27</v>
      </c>
      <c r="E269" s="28" t="s">
        <v>12</v>
      </c>
      <c r="F269" s="28" t="s">
        <v>188</v>
      </c>
      <c r="G269" s="28" t="str">
        <f t="shared" si="93"/>
        <v>LATE</v>
      </c>
      <c r="H269" s="31">
        <f t="shared" si="91"/>
        <v>-0.46527777777777779</v>
      </c>
      <c r="I269" s="27" t="str">
        <f t="shared" si="94"/>
        <v>NO OT</v>
      </c>
    </row>
    <row r="270" spans="1:9" hidden="1" x14ac:dyDescent="0.25">
      <c r="A270" s="28" t="s">
        <v>576</v>
      </c>
      <c r="B270" s="29">
        <v>46102</v>
      </c>
      <c r="C270" s="30" t="s">
        <v>463</v>
      </c>
      <c r="D270" s="28" t="s">
        <v>12</v>
      </c>
      <c r="E270" s="28" t="s">
        <v>12</v>
      </c>
      <c r="F270" s="28" t="s">
        <v>12</v>
      </c>
      <c r="G270" s="60" t="s">
        <v>592</v>
      </c>
      <c r="H270" s="61"/>
      <c r="I270" s="62"/>
    </row>
    <row r="271" spans="1:9" hidden="1" x14ac:dyDescent="0.25">
      <c r="A271" s="28" t="s">
        <v>576</v>
      </c>
      <c r="B271" s="29">
        <v>46103</v>
      </c>
      <c r="C271" s="60" t="s">
        <v>456</v>
      </c>
      <c r="D271" s="61"/>
      <c r="E271" s="61"/>
      <c r="F271" s="61"/>
      <c r="G271" s="61"/>
      <c r="H271" s="61"/>
      <c r="I271" s="62"/>
    </row>
    <row r="272" spans="1:9" hidden="1" x14ac:dyDescent="0.25">
      <c r="A272" s="28" t="s">
        <v>576</v>
      </c>
      <c r="B272" s="29">
        <v>46104</v>
      </c>
      <c r="C272" s="30" t="s">
        <v>457</v>
      </c>
      <c r="D272" s="28" t="s">
        <v>507</v>
      </c>
      <c r="E272" s="28" t="s">
        <v>584</v>
      </c>
      <c r="F272" s="28" t="s">
        <v>585</v>
      </c>
      <c r="G272" s="28" t="str">
        <f t="shared" ref="G272:G277" si="95">IF(C272="Sunday", "SUNDAY", IF(OR(D272=0, D272="", D272="0:0"), "ABSENT", IF(MOD(D272,1) &gt; TIME(9,45,0), "LATE", "OK")))</f>
        <v>LATE</v>
      </c>
      <c r="H272" s="31">
        <f t="shared" si="91"/>
        <v>0.19236111111111107</v>
      </c>
      <c r="I272" s="27" t="str">
        <f t="shared" ref="I272:I277" si="96">IF(VALUE(E272) &gt; TIME(19,0,0), TEXT(VALUE(E272) - TIME(19,0,0), "hh:mm"), "NO OT")</f>
        <v>NO OT</v>
      </c>
    </row>
    <row r="273" spans="1:9" hidden="1" x14ac:dyDescent="0.25">
      <c r="A273" s="28" t="s">
        <v>576</v>
      </c>
      <c r="B273" s="29">
        <v>46105</v>
      </c>
      <c r="C273" s="30" t="s">
        <v>458</v>
      </c>
      <c r="D273" s="28" t="s">
        <v>185</v>
      </c>
      <c r="E273" s="28" t="s">
        <v>274</v>
      </c>
      <c r="F273" s="28" t="s">
        <v>470</v>
      </c>
      <c r="G273" s="28" t="str">
        <f t="shared" si="95"/>
        <v>LATE</v>
      </c>
      <c r="H273" s="31">
        <f t="shared" si="91"/>
        <v>0.27569444444444446</v>
      </c>
      <c r="I273" s="27" t="str">
        <f t="shared" si="96"/>
        <v>NO OT</v>
      </c>
    </row>
    <row r="274" spans="1:9" hidden="1" x14ac:dyDescent="0.25">
      <c r="A274" s="28" t="s">
        <v>576</v>
      </c>
      <c r="B274" s="29">
        <v>46106</v>
      </c>
      <c r="C274" s="30" t="s">
        <v>459</v>
      </c>
      <c r="D274" s="28" t="s">
        <v>144</v>
      </c>
      <c r="E274" s="28" t="s">
        <v>434</v>
      </c>
      <c r="F274" s="28" t="s">
        <v>436</v>
      </c>
      <c r="G274" s="28" t="str">
        <f t="shared" si="95"/>
        <v>LATE</v>
      </c>
      <c r="H274" s="31">
        <f t="shared" si="91"/>
        <v>0.27708333333333335</v>
      </c>
      <c r="I274" s="27" t="str">
        <f t="shared" si="96"/>
        <v>NO OT</v>
      </c>
    </row>
    <row r="275" spans="1:9" hidden="1" x14ac:dyDescent="0.25">
      <c r="A275" s="28" t="s">
        <v>576</v>
      </c>
      <c r="B275" s="29">
        <v>46107</v>
      </c>
      <c r="C275" s="30" t="s">
        <v>460</v>
      </c>
      <c r="D275" s="28" t="s">
        <v>12</v>
      </c>
      <c r="E275" s="28" t="s">
        <v>12</v>
      </c>
      <c r="F275" s="28" t="s">
        <v>12</v>
      </c>
      <c r="G275" s="60" t="str">
        <f t="shared" si="95"/>
        <v>ABSENT</v>
      </c>
      <c r="H275" s="61"/>
      <c r="I275" s="62"/>
    </row>
    <row r="276" spans="1:9" hidden="1" x14ac:dyDescent="0.25">
      <c r="A276" s="28" t="s">
        <v>576</v>
      </c>
      <c r="B276" s="29">
        <v>46108</v>
      </c>
      <c r="C276" s="30" t="s">
        <v>461</v>
      </c>
      <c r="D276" s="28" t="s">
        <v>101</v>
      </c>
      <c r="E276" s="28" t="s">
        <v>434</v>
      </c>
      <c r="F276" s="28" t="s">
        <v>427</v>
      </c>
      <c r="G276" s="28" t="str">
        <f t="shared" si="95"/>
        <v>LATE</v>
      </c>
      <c r="H276" s="31">
        <f t="shared" si="91"/>
        <v>0.28055555555555556</v>
      </c>
      <c r="I276" s="27" t="str">
        <f t="shared" si="96"/>
        <v>NO OT</v>
      </c>
    </row>
    <row r="277" spans="1:9" hidden="1" x14ac:dyDescent="0.25">
      <c r="A277" s="28" t="s">
        <v>576</v>
      </c>
      <c r="B277" s="29">
        <v>46109</v>
      </c>
      <c r="C277" s="30" t="s">
        <v>463</v>
      </c>
      <c r="D277" s="28" t="s">
        <v>163</v>
      </c>
      <c r="E277" s="28" t="s">
        <v>274</v>
      </c>
      <c r="F277" s="28" t="s">
        <v>467</v>
      </c>
      <c r="G277" s="28" t="str">
        <f t="shared" si="95"/>
        <v>LATE</v>
      </c>
      <c r="H277" s="31">
        <f t="shared" si="91"/>
        <v>0.27430555555555552</v>
      </c>
      <c r="I277" s="27" t="str">
        <f t="shared" si="96"/>
        <v>NO OT</v>
      </c>
    </row>
    <row r="278" spans="1:9" hidden="1" x14ac:dyDescent="0.25">
      <c r="A278" s="28" t="s">
        <v>576</v>
      </c>
      <c r="B278" s="29">
        <v>46110</v>
      </c>
      <c r="C278" s="60" t="s">
        <v>456</v>
      </c>
      <c r="D278" s="61"/>
      <c r="E278" s="61"/>
      <c r="F278" s="61"/>
      <c r="G278" s="61"/>
      <c r="H278" s="61"/>
      <c r="I278" s="62"/>
    </row>
    <row r="279" spans="1:9" hidden="1" x14ac:dyDescent="0.25">
      <c r="A279" s="28" t="s">
        <v>576</v>
      </c>
      <c r="B279" s="29">
        <v>46111</v>
      </c>
      <c r="C279" s="30" t="s">
        <v>457</v>
      </c>
      <c r="D279" s="28" t="s">
        <v>529</v>
      </c>
      <c r="E279" s="28" t="s">
        <v>586</v>
      </c>
      <c r="F279" s="28" t="s">
        <v>587</v>
      </c>
      <c r="G279" s="28" t="str">
        <f t="shared" ref="G279:G311" si="97">IF(C279="Sunday", "SUNDAY", IF(OR(D279=0, D279="", D279="0:0"), "ABSENT", IF(MOD(D279,1) &gt; TIME(9,45,0), "LATE", "OK")))</f>
        <v>LATE</v>
      </c>
      <c r="H279" s="31">
        <f t="shared" si="91"/>
        <v>0.23263888888888892</v>
      </c>
      <c r="I279" s="27" t="str">
        <f t="shared" ref="I279:I280" si="98">IF(VALUE(E279) &gt; TIME(19,0,0), TEXT(VALUE(E279) - TIME(19,0,0), "hh:mm"), "NO OT")</f>
        <v>NO OT</v>
      </c>
    </row>
    <row r="280" spans="1:9" hidden="1" x14ac:dyDescent="0.25">
      <c r="A280" s="28" t="s">
        <v>576</v>
      </c>
      <c r="B280" s="29">
        <v>46112</v>
      </c>
      <c r="C280" s="30" t="s">
        <v>458</v>
      </c>
      <c r="D280" s="28" t="s">
        <v>184</v>
      </c>
      <c r="E280" s="28" t="s">
        <v>12</v>
      </c>
      <c r="F280" s="28" t="s">
        <v>188</v>
      </c>
      <c r="G280" s="28" t="str">
        <f t="shared" si="97"/>
        <v>LATE</v>
      </c>
      <c r="H280" s="31">
        <f t="shared" si="91"/>
        <v>-0.47291666666666671</v>
      </c>
      <c r="I280" s="27" t="str">
        <f t="shared" si="98"/>
        <v>NO OT</v>
      </c>
    </row>
    <row r="281" spans="1:9" hidden="1" x14ac:dyDescent="0.25">
      <c r="A281" s="28" t="s">
        <v>588</v>
      </c>
      <c r="B281" s="29">
        <v>46082</v>
      </c>
      <c r="C281" s="60" t="s">
        <v>456</v>
      </c>
      <c r="D281" s="61"/>
      <c r="E281" s="61"/>
      <c r="F281" s="61"/>
      <c r="G281" s="61"/>
      <c r="H281" s="61"/>
      <c r="I281" s="62"/>
    </row>
    <row r="282" spans="1:9" hidden="1" x14ac:dyDescent="0.25">
      <c r="A282" s="28" t="s">
        <v>588</v>
      </c>
      <c r="B282" s="29">
        <v>46083</v>
      </c>
      <c r="C282" s="30" t="s">
        <v>457</v>
      </c>
      <c r="D282" s="28" t="s">
        <v>531</v>
      </c>
      <c r="E282" s="28" t="s">
        <v>486</v>
      </c>
      <c r="G282" s="28" t="str">
        <f t="shared" si="97"/>
        <v>LATE</v>
      </c>
      <c r="H282" s="31">
        <f t="shared" si="91"/>
        <v>0.2388888888888889</v>
      </c>
      <c r="I282" s="27" t="str">
        <f>IF(VALUE(D282) &gt; TIME(19,0,0), TEXT(VALUE(D282) - TIME(19,0,0), "hh:mm"), "NO OT")</f>
        <v>NO OT</v>
      </c>
    </row>
    <row r="283" spans="1:9" hidden="1" x14ac:dyDescent="0.25">
      <c r="A283" s="28" t="s">
        <v>588</v>
      </c>
      <c r="B283" s="29">
        <v>46084</v>
      </c>
      <c r="C283" s="30" t="s">
        <v>458</v>
      </c>
      <c r="D283" s="28" t="s">
        <v>279</v>
      </c>
      <c r="E283" s="28" t="s">
        <v>363</v>
      </c>
      <c r="G283" s="28" t="str">
        <f t="shared" si="97"/>
        <v>OK</v>
      </c>
      <c r="H283" s="31">
        <f t="shared" si="91"/>
        <v>0.33124999999999993</v>
      </c>
      <c r="I283" s="27" t="str">
        <f>IF(VALUE(D283) &gt; TIME(19,0,0), TEXT(VALUE(D283) - TIME(19,0,0), "hh:mm"), "NO OT")</f>
        <v>NO OT</v>
      </c>
    </row>
    <row r="284" spans="1:9" hidden="1" x14ac:dyDescent="0.25">
      <c r="A284" s="28" t="s">
        <v>588</v>
      </c>
      <c r="B284" s="29">
        <v>46085</v>
      </c>
      <c r="C284" s="30" t="s">
        <v>459</v>
      </c>
      <c r="D284" s="28" t="s">
        <v>12</v>
      </c>
      <c r="E284" s="28" t="s">
        <v>12</v>
      </c>
      <c r="G284" s="60" t="s">
        <v>594</v>
      </c>
      <c r="H284" s="61"/>
      <c r="I284" s="62"/>
    </row>
    <row r="285" spans="1:9" hidden="1" x14ac:dyDescent="0.25">
      <c r="A285" s="28" t="s">
        <v>588</v>
      </c>
      <c r="B285" s="29">
        <v>46086</v>
      </c>
      <c r="C285" s="30" t="s">
        <v>460</v>
      </c>
      <c r="D285" s="28" t="s">
        <v>12</v>
      </c>
      <c r="E285" s="28" t="s">
        <v>12</v>
      </c>
      <c r="G285" s="60" t="str">
        <f t="shared" si="97"/>
        <v>ABSENT</v>
      </c>
      <c r="H285" s="61"/>
      <c r="I285" s="62"/>
    </row>
    <row r="286" spans="1:9" hidden="1" x14ac:dyDescent="0.25">
      <c r="A286" s="28" t="s">
        <v>588</v>
      </c>
      <c r="B286" s="29">
        <v>46087</v>
      </c>
      <c r="C286" s="30" t="s">
        <v>461</v>
      </c>
      <c r="D286" s="28" t="s">
        <v>589</v>
      </c>
      <c r="E286" s="28" t="s">
        <v>333</v>
      </c>
      <c r="G286" s="28" t="str">
        <f t="shared" si="97"/>
        <v>OK</v>
      </c>
      <c r="H286" s="31">
        <f t="shared" si="91"/>
        <v>0.34652777777777782</v>
      </c>
      <c r="I286" s="27" t="str">
        <f>IF(VALUE(D286) &gt; TIME(19,0,0), TEXT(VALUE(D286) - TIME(19,0,0), "hh:mm"), "NO OT")</f>
        <v>NO OT</v>
      </c>
    </row>
    <row r="287" spans="1:9" hidden="1" x14ac:dyDescent="0.25">
      <c r="A287" s="28" t="s">
        <v>588</v>
      </c>
      <c r="B287" s="29">
        <v>46088</v>
      </c>
      <c r="C287" s="30" t="s">
        <v>463</v>
      </c>
      <c r="D287" s="28" t="s">
        <v>405</v>
      </c>
      <c r="E287" s="28" t="s">
        <v>12</v>
      </c>
      <c r="G287" s="28" t="str">
        <f t="shared" si="97"/>
        <v>OK</v>
      </c>
      <c r="H287" s="31">
        <f t="shared" si="91"/>
        <v>-0.42500000000000004</v>
      </c>
      <c r="I287" s="27" t="str">
        <f>IF(VALUE(D287) &gt; TIME(19,0,0), TEXT(VALUE(D287) - TIME(19,0,0), "hh:mm"), "NO OT")</f>
        <v>NO OT</v>
      </c>
    </row>
    <row r="288" spans="1:9" hidden="1" x14ac:dyDescent="0.25">
      <c r="A288" s="28" t="s">
        <v>588</v>
      </c>
      <c r="B288" s="29">
        <v>46089</v>
      </c>
      <c r="C288" s="60" t="s">
        <v>456</v>
      </c>
      <c r="D288" s="61"/>
      <c r="E288" s="61"/>
      <c r="F288" s="61"/>
      <c r="G288" s="61"/>
      <c r="H288" s="61"/>
      <c r="I288" s="62"/>
    </row>
    <row r="289" spans="1:9" hidden="1" x14ac:dyDescent="0.25">
      <c r="A289" s="28" t="s">
        <v>588</v>
      </c>
      <c r="B289" s="29">
        <v>46090</v>
      </c>
      <c r="C289" s="30" t="s">
        <v>457</v>
      </c>
      <c r="D289" s="28" t="s">
        <v>405</v>
      </c>
      <c r="E289" s="28" t="s">
        <v>261</v>
      </c>
      <c r="G289" s="28" t="str">
        <f t="shared" si="97"/>
        <v>OK</v>
      </c>
      <c r="H289" s="31">
        <f t="shared" si="91"/>
        <v>0.3388888888888888</v>
      </c>
      <c r="I289" s="27" t="str">
        <f t="shared" ref="I289:I294" si="99">IF(VALUE(D289) &gt; TIME(19,0,0), TEXT(VALUE(D289) - TIME(19,0,0), "hh:mm"), "NO OT")</f>
        <v>NO OT</v>
      </c>
    </row>
    <row r="290" spans="1:9" hidden="1" x14ac:dyDescent="0.25">
      <c r="A290" s="28" t="s">
        <v>588</v>
      </c>
      <c r="B290" s="29">
        <v>46091</v>
      </c>
      <c r="C290" s="30" t="s">
        <v>458</v>
      </c>
      <c r="D290" s="28" t="s">
        <v>403</v>
      </c>
      <c r="E290" s="28" t="s">
        <v>510</v>
      </c>
      <c r="G290" s="28" t="str">
        <f t="shared" si="97"/>
        <v>OK</v>
      </c>
      <c r="H290" s="31">
        <f t="shared" si="91"/>
        <v>0.33055555555555549</v>
      </c>
      <c r="I290" s="27" t="str">
        <f t="shared" si="99"/>
        <v>NO OT</v>
      </c>
    </row>
    <row r="291" spans="1:9" hidden="1" x14ac:dyDescent="0.25">
      <c r="A291" s="28" t="s">
        <v>588</v>
      </c>
      <c r="B291" s="29">
        <v>46092</v>
      </c>
      <c r="C291" s="30" t="s">
        <v>459</v>
      </c>
      <c r="D291" s="28" t="s">
        <v>450</v>
      </c>
      <c r="E291" s="28" t="s">
        <v>241</v>
      </c>
      <c r="G291" s="28" t="str">
        <f t="shared" si="97"/>
        <v>OK</v>
      </c>
      <c r="H291" s="31">
        <f t="shared" si="91"/>
        <v>0.30902777777777779</v>
      </c>
      <c r="I291" s="27" t="str">
        <f t="shared" si="99"/>
        <v>NO OT</v>
      </c>
    </row>
    <row r="292" spans="1:9" hidden="1" x14ac:dyDescent="0.25">
      <c r="A292" s="28" t="s">
        <v>588</v>
      </c>
      <c r="B292" s="29">
        <v>46093</v>
      </c>
      <c r="C292" s="30" t="s">
        <v>460</v>
      </c>
      <c r="D292" s="28" t="s">
        <v>205</v>
      </c>
      <c r="E292" s="28" t="s">
        <v>317</v>
      </c>
      <c r="G292" s="28" t="str">
        <f t="shared" si="97"/>
        <v>OK</v>
      </c>
      <c r="H292" s="31">
        <f t="shared" si="91"/>
        <v>0.32847222222222217</v>
      </c>
      <c r="I292" s="27" t="str">
        <f t="shared" si="99"/>
        <v>NO OT</v>
      </c>
    </row>
    <row r="293" spans="1:9" hidden="1" x14ac:dyDescent="0.25">
      <c r="A293" s="28" t="s">
        <v>588</v>
      </c>
      <c r="B293" s="29">
        <v>46094</v>
      </c>
      <c r="C293" s="30" t="s">
        <v>461</v>
      </c>
      <c r="D293" s="28" t="s">
        <v>364</v>
      </c>
      <c r="E293" s="28" t="s">
        <v>376</v>
      </c>
      <c r="G293" s="28" t="str">
        <f t="shared" si="97"/>
        <v>OK</v>
      </c>
      <c r="H293" s="31">
        <f t="shared" si="91"/>
        <v>0.35902777777777772</v>
      </c>
      <c r="I293" s="27" t="str">
        <f t="shared" si="99"/>
        <v>NO OT</v>
      </c>
    </row>
    <row r="294" spans="1:9" hidden="1" x14ac:dyDescent="0.25">
      <c r="A294" s="28" t="s">
        <v>588</v>
      </c>
      <c r="B294" s="29">
        <v>46095</v>
      </c>
      <c r="C294" s="30" t="s">
        <v>463</v>
      </c>
      <c r="D294" s="28" t="s">
        <v>279</v>
      </c>
      <c r="E294" s="28" t="s">
        <v>434</v>
      </c>
      <c r="G294" s="28" t="str">
        <f t="shared" si="97"/>
        <v>OK</v>
      </c>
      <c r="H294" s="31">
        <f t="shared" si="91"/>
        <v>0.31458333333333333</v>
      </c>
      <c r="I294" s="27" t="str">
        <f t="shared" si="99"/>
        <v>NO OT</v>
      </c>
    </row>
    <row r="295" spans="1:9" hidden="1" x14ac:dyDescent="0.25">
      <c r="A295" s="28" t="s">
        <v>588</v>
      </c>
      <c r="B295" s="29">
        <v>46096</v>
      </c>
      <c r="C295" s="60" t="s">
        <v>456</v>
      </c>
      <c r="D295" s="61"/>
      <c r="E295" s="61"/>
      <c r="F295" s="61"/>
      <c r="G295" s="61"/>
      <c r="H295" s="61"/>
      <c r="I295" s="62"/>
    </row>
    <row r="296" spans="1:9" hidden="1" x14ac:dyDescent="0.25">
      <c r="A296" s="28" t="s">
        <v>588</v>
      </c>
      <c r="B296" s="29">
        <v>46097</v>
      </c>
      <c r="C296" s="30" t="s">
        <v>457</v>
      </c>
      <c r="D296" s="28" t="s">
        <v>12</v>
      </c>
      <c r="E296" s="28" t="s">
        <v>12</v>
      </c>
      <c r="G296" s="60" t="str">
        <f t="shared" ref="G296" si="100">IF(C296="Sunday", "SUNDAY", IF(OR(D296=0, D296="", D296="0:0"), "ABSENT", IF(MOD(D296,1) &gt; TIME(9,45,0), "LATE", "OK")))</f>
        <v>ABSENT</v>
      </c>
      <c r="H296" s="61"/>
      <c r="I296" s="62"/>
    </row>
    <row r="297" spans="1:9" hidden="1" x14ac:dyDescent="0.25">
      <c r="A297" s="28" t="s">
        <v>588</v>
      </c>
      <c r="B297" s="29">
        <v>46098</v>
      </c>
      <c r="C297" s="30" t="s">
        <v>458</v>
      </c>
      <c r="D297" s="28" t="s">
        <v>450</v>
      </c>
      <c r="E297" s="28" t="s">
        <v>303</v>
      </c>
      <c r="G297" s="28" t="str">
        <f t="shared" si="97"/>
        <v>OK</v>
      </c>
      <c r="H297" s="31">
        <f t="shared" si="91"/>
        <v>0.34027777777777779</v>
      </c>
      <c r="I297" s="27" t="str">
        <f>IF(VALUE(D297) &gt; TIME(19,0,0), TEXT(VALUE(D297) - TIME(19,0,0), "hh:mm"), "NO OT")</f>
        <v>NO OT</v>
      </c>
    </row>
    <row r="298" spans="1:9" hidden="1" x14ac:dyDescent="0.25">
      <c r="A298" s="28" t="s">
        <v>588</v>
      </c>
      <c r="B298" s="29">
        <v>46099</v>
      </c>
      <c r="C298" s="30" t="s">
        <v>459</v>
      </c>
      <c r="D298" s="28" t="s">
        <v>450</v>
      </c>
      <c r="E298" s="28" t="s">
        <v>227</v>
      </c>
      <c r="G298" s="28" t="str">
        <f t="shared" si="97"/>
        <v>OK</v>
      </c>
      <c r="H298" s="31">
        <f t="shared" si="91"/>
        <v>0.30694444444444435</v>
      </c>
      <c r="I298" s="27" t="str">
        <f>IF(VALUE(D298) &gt; TIME(19,0,0), TEXT(VALUE(D298) - TIME(19,0,0), "hh:mm"), "NO OT")</f>
        <v>NO OT</v>
      </c>
    </row>
    <row r="299" spans="1:9" hidden="1" x14ac:dyDescent="0.25">
      <c r="A299" s="28" t="s">
        <v>588</v>
      </c>
      <c r="B299" s="29">
        <v>46100</v>
      </c>
      <c r="C299" s="30" t="s">
        <v>460</v>
      </c>
      <c r="D299" s="28" t="s">
        <v>405</v>
      </c>
      <c r="E299" s="28" t="s">
        <v>432</v>
      </c>
      <c r="G299" s="28" t="str">
        <f t="shared" si="97"/>
        <v>OK</v>
      </c>
      <c r="H299" s="31">
        <f t="shared" si="91"/>
        <v>0.31597222222222221</v>
      </c>
      <c r="I299" s="27" t="str">
        <f>IF(VALUE(D299) &gt; TIME(19,0,0), TEXT(VALUE(D299) - TIME(19,0,0), "hh:mm"), "NO OT")</f>
        <v>NO OT</v>
      </c>
    </row>
    <row r="300" spans="1:9" hidden="1" x14ac:dyDescent="0.25">
      <c r="A300" s="28" t="s">
        <v>588</v>
      </c>
      <c r="B300" s="29">
        <v>46101</v>
      </c>
      <c r="C300" s="30" t="s">
        <v>461</v>
      </c>
      <c r="D300" s="28" t="s">
        <v>450</v>
      </c>
      <c r="E300" s="28" t="s">
        <v>241</v>
      </c>
      <c r="G300" s="28" t="str">
        <f t="shared" si="97"/>
        <v>OK</v>
      </c>
      <c r="H300" s="31">
        <f t="shared" si="91"/>
        <v>0.30902777777777779</v>
      </c>
      <c r="I300" s="27" t="str">
        <f>IF(VALUE(D300) &gt; TIME(19,0,0), TEXT(VALUE(D300) - TIME(19,0,0), "hh:mm"), "NO OT")</f>
        <v>NO OT</v>
      </c>
    </row>
    <row r="301" spans="1:9" hidden="1" x14ac:dyDescent="0.25">
      <c r="A301" s="28" t="s">
        <v>588</v>
      </c>
      <c r="B301" s="29">
        <v>46102</v>
      </c>
      <c r="C301" s="30" t="s">
        <v>463</v>
      </c>
      <c r="D301" s="28" t="s">
        <v>12</v>
      </c>
      <c r="E301" s="28" t="s">
        <v>12</v>
      </c>
      <c r="G301" s="60" t="s">
        <v>592</v>
      </c>
      <c r="H301" s="61"/>
      <c r="I301" s="62"/>
    </row>
    <row r="302" spans="1:9" hidden="1" x14ac:dyDescent="0.25">
      <c r="A302" s="28" t="s">
        <v>588</v>
      </c>
      <c r="B302" s="29">
        <v>46103</v>
      </c>
      <c r="C302" s="60" t="s">
        <v>456</v>
      </c>
      <c r="D302" s="61"/>
      <c r="E302" s="61"/>
      <c r="F302" s="61"/>
      <c r="G302" s="61"/>
      <c r="H302" s="61"/>
      <c r="I302" s="62"/>
    </row>
    <row r="303" spans="1:9" hidden="1" x14ac:dyDescent="0.25">
      <c r="A303" s="28" t="s">
        <v>588</v>
      </c>
      <c r="B303" s="29">
        <v>46104</v>
      </c>
      <c r="C303" s="30" t="s">
        <v>457</v>
      </c>
      <c r="D303" s="28" t="s">
        <v>405</v>
      </c>
      <c r="E303" s="28" t="s">
        <v>265</v>
      </c>
      <c r="G303" s="28" t="str">
        <f t="shared" si="97"/>
        <v>OK</v>
      </c>
      <c r="H303" s="31">
        <f t="shared" si="91"/>
        <v>0.28333333333333333</v>
      </c>
      <c r="I303" s="27" t="str">
        <f>IF(VALUE(D303) &gt; TIME(19,0,0), TEXT(VALUE(D303) - TIME(19,0,0), "hh:mm"), "NO OT")</f>
        <v>NO OT</v>
      </c>
    </row>
    <row r="304" spans="1:9" hidden="1" x14ac:dyDescent="0.25">
      <c r="A304" s="28" t="s">
        <v>588</v>
      </c>
      <c r="B304" s="29">
        <v>46105</v>
      </c>
      <c r="C304" s="30" t="s">
        <v>458</v>
      </c>
      <c r="D304" s="28" t="s">
        <v>403</v>
      </c>
      <c r="E304" s="28" t="s">
        <v>197</v>
      </c>
      <c r="G304" s="28" t="str">
        <f t="shared" si="97"/>
        <v>OK</v>
      </c>
      <c r="H304" s="31">
        <f t="shared" si="91"/>
        <v>0.34236111111111112</v>
      </c>
      <c r="I304" s="27" t="str">
        <f>IF(VALUE(D304) &gt; TIME(19,0,0), TEXT(VALUE(D304) - TIME(19,0,0), "hh:mm"), "NO OT")</f>
        <v>NO OT</v>
      </c>
    </row>
    <row r="305" spans="1:9" hidden="1" x14ac:dyDescent="0.25">
      <c r="A305" s="28" t="s">
        <v>588</v>
      </c>
      <c r="B305" s="29">
        <v>46106</v>
      </c>
      <c r="C305" s="30" t="s">
        <v>459</v>
      </c>
      <c r="D305" s="28" t="s">
        <v>364</v>
      </c>
      <c r="E305" s="28" t="s">
        <v>333</v>
      </c>
      <c r="G305" s="28" t="str">
        <f t="shared" si="97"/>
        <v>OK</v>
      </c>
      <c r="H305" s="31">
        <f t="shared" si="91"/>
        <v>0.34513888888888888</v>
      </c>
      <c r="I305" s="27" t="str">
        <f>IF(VALUE(D305) &gt; TIME(19,0,0), TEXT(VALUE(D305) - TIME(19,0,0), "hh:mm"), "NO OT")</f>
        <v>NO OT</v>
      </c>
    </row>
    <row r="306" spans="1:9" hidden="1" x14ac:dyDescent="0.25">
      <c r="A306" s="28" t="s">
        <v>588</v>
      </c>
      <c r="B306" s="29">
        <v>46107</v>
      </c>
      <c r="C306" s="30" t="s">
        <v>460</v>
      </c>
      <c r="D306" s="28" t="s">
        <v>450</v>
      </c>
      <c r="E306" s="28" t="s">
        <v>590</v>
      </c>
      <c r="G306" s="28" t="str">
        <f t="shared" si="97"/>
        <v>OK</v>
      </c>
      <c r="H306" s="31">
        <f t="shared" si="91"/>
        <v>0.43888888888888888</v>
      </c>
      <c r="I306" s="27" t="str">
        <f>IF(VALUE(D306) &gt; TIME(19,0,0), TEXT(VALUE(D306) - TIME(19,0,0), "hh:mm"), "NO OT")</f>
        <v>NO OT</v>
      </c>
    </row>
    <row r="307" spans="1:9" hidden="1" x14ac:dyDescent="0.25">
      <c r="A307" s="28" t="s">
        <v>588</v>
      </c>
      <c r="B307" s="29">
        <v>46108</v>
      </c>
      <c r="C307" s="30" t="s">
        <v>461</v>
      </c>
      <c r="D307" s="28" t="s">
        <v>279</v>
      </c>
      <c r="E307" s="28" t="s">
        <v>212</v>
      </c>
      <c r="G307" s="28" t="str">
        <f t="shared" si="97"/>
        <v>OK</v>
      </c>
      <c r="H307" s="31">
        <f t="shared" si="91"/>
        <v>0.34166666666666667</v>
      </c>
      <c r="I307" s="27" t="str">
        <f>IF(VALUE(D307) &gt; TIME(19,0,0), TEXT(VALUE(D307) - TIME(19,0,0), "hh:mm"), "NO OT")</f>
        <v>NO OT</v>
      </c>
    </row>
    <row r="308" spans="1:9" hidden="1" x14ac:dyDescent="0.25">
      <c r="A308" s="28" t="s">
        <v>588</v>
      </c>
      <c r="B308" s="29">
        <v>46109</v>
      </c>
      <c r="C308" s="30" t="s">
        <v>463</v>
      </c>
      <c r="D308" s="28" t="s">
        <v>12</v>
      </c>
      <c r="E308" s="28" t="s">
        <v>12</v>
      </c>
      <c r="G308" s="60" t="str">
        <f t="shared" si="97"/>
        <v>ABSENT</v>
      </c>
      <c r="H308" s="61"/>
      <c r="I308" s="62"/>
    </row>
    <row r="309" spans="1:9" hidden="1" x14ac:dyDescent="0.25">
      <c r="A309" s="28" t="s">
        <v>588</v>
      </c>
      <c r="B309" s="29">
        <v>46110</v>
      </c>
      <c r="C309" s="60" t="s">
        <v>456</v>
      </c>
      <c r="D309" s="61"/>
      <c r="E309" s="61"/>
      <c r="F309" s="61"/>
      <c r="G309" s="61"/>
      <c r="H309" s="61"/>
      <c r="I309" s="62"/>
    </row>
    <row r="310" spans="1:9" hidden="1" x14ac:dyDescent="0.25">
      <c r="A310" s="28" t="s">
        <v>588</v>
      </c>
      <c r="B310" s="29">
        <v>46111</v>
      </c>
      <c r="C310" s="30" t="s">
        <v>457</v>
      </c>
      <c r="D310" s="28" t="s">
        <v>591</v>
      </c>
      <c r="E310" s="28" t="s">
        <v>333</v>
      </c>
      <c r="G310" s="28" t="str">
        <f t="shared" si="97"/>
        <v>OK</v>
      </c>
      <c r="H310" s="31">
        <f t="shared" si="91"/>
        <v>0.34861111111111115</v>
      </c>
      <c r="I310" s="27" t="str">
        <f>IF(VALUE(D310) &gt; TIME(19,0,0), TEXT(VALUE(D310) - TIME(19,0,0), "hh:mm"), "NO OT")</f>
        <v>NO OT</v>
      </c>
    </row>
    <row r="311" spans="1:9" hidden="1" x14ac:dyDescent="0.25">
      <c r="A311" s="28" t="s">
        <v>588</v>
      </c>
      <c r="B311" s="29">
        <v>46112</v>
      </c>
      <c r="C311" s="30" t="s">
        <v>458</v>
      </c>
      <c r="D311" s="28" t="s">
        <v>502</v>
      </c>
      <c r="E311" s="28" t="s">
        <v>254</v>
      </c>
      <c r="G311" s="28" t="str">
        <f t="shared" si="97"/>
        <v>OK</v>
      </c>
      <c r="H311" s="31">
        <f t="shared" si="91"/>
        <v>0.34583333333333333</v>
      </c>
      <c r="I311" s="27" t="str">
        <f>IF(VALUE(D311) &gt; TIME(19,0,0), TEXT(VALUE(D311) - TIME(19,0,0), "hh:mm"), "NO OT")</f>
        <v>NO OT</v>
      </c>
    </row>
  </sheetData>
  <autoFilter ref="A1:I311">
    <filterColumn colId="0">
      <filters>
        <filter val="RAMESH RATHOD"/>
        <filter val="VIRAL CHAUDHARI"/>
      </filters>
    </filterColumn>
  </autoFilter>
  <mergeCells count="104">
    <mergeCell ref="C2:I2"/>
    <mergeCell ref="C9:I9"/>
    <mergeCell ref="C16:I16"/>
    <mergeCell ref="C23:I23"/>
    <mergeCell ref="C30:I30"/>
    <mergeCell ref="C33:I33"/>
    <mergeCell ref="C40:I40"/>
    <mergeCell ref="C47:I47"/>
    <mergeCell ref="C288:I288"/>
    <mergeCell ref="G284:I284"/>
    <mergeCell ref="G285:I285"/>
    <mergeCell ref="C226:I226"/>
    <mergeCell ref="C233:I233"/>
    <mergeCell ref="C240:I240"/>
    <mergeCell ref="C247:I247"/>
    <mergeCell ref="C216:I216"/>
    <mergeCell ref="C219:I219"/>
    <mergeCell ref="G201:I201"/>
    <mergeCell ref="G205:I205"/>
    <mergeCell ref="C154:I154"/>
    <mergeCell ref="C157:I157"/>
    <mergeCell ref="C164:I164"/>
    <mergeCell ref="C171:I171"/>
    <mergeCell ref="C140:I140"/>
    <mergeCell ref="C123:I123"/>
    <mergeCell ref="C126:I126"/>
    <mergeCell ref="C133:I133"/>
    <mergeCell ref="G129:I129"/>
    <mergeCell ref="C147:I147"/>
    <mergeCell ref="G146:I146"/>
    <mergeCell ref="G174:I174"/>
    <mergeCell ref="G175:I175"/>
    <mergeCell ref="G177:I177"/>
    <mergeCell ref="G148:I148"/>
    <mergeCell ref="G160:I160"/>
    <mergeCell ref="G162:I162"/>
    <mergeCell ref="G166:I166"/>
    <mergeCell ref="G170:I170"/>
    <mergeCell ref="G172:I172"/>
    <mergeCell ref="C309:I309"/>
    <mergeCell ref="G5:I5"/>
    <mergeCell ref="G8:I8"/>
    <mergeCell ref="G22:I22"/>
    <mergeCell ref="G24:I24"/>
    <mergeCell ref="G25:I25"/>
    <mergeCell ref="G35:I35"/>
    <mergeCell ref="G36:I36"/>
    <mergeCell ref="C250:I250"/>
    <mergeCell ref="C257:I257"/>
    <mergeCell ref="C264:I264"/>
    <mergeCell ref="C271:I271"/>
    <mergeCell ref="C278:I278"/>
    <mergeCell ref="C281:I281"/>
    <mergeCell ref="G253:I253"/>
    <mergeCell ref="G265:I265"/>
    <mergeCell ref="G270:I270"/>
    <mergeCell ref="G275:I275"/>
    <mergeCell ref="C178:I178"/>
    <mergeCell ref="C185:I185"/>
    <mergeCell ref="C188:I188"/>
    <mergeCell ref="C195:I195"/>
    <mergeCell ref="C202:I202"/>
    <mergeCell ref="C209:I209"/>
    <mergeCell ref="G98:I98"/>
    <mergeCell ref="G101:I101"/>
    <mergeCell ref="G108:I108"/>
    <mergeCell ref="G113:I113"/>
    <mergeCell ref="G115:I115"/>
    <mergeCell ref="G119:I119"/>
    <mergeCell ref="G37:I37"/>
    <mergeCell ref="G42:I42"/>
    <mergeCell ref="G53:I53"/>
    <mergeCell ref="G55:I55"/>
    <mergeCell ref="G67:I67"/>
    <mergeCell ref="G84:I84"/>
    <mergeCell ref="C78:I78"/>
    <mergeCell ref="C85:I85"/>
    <mergeCell ref="C92:I92"/>
    <mergeCell ref="C95:I95"/>
    <mergeCell ref="C54:I54"/>
    <mergeCell ref="C61:I61"/>
    <mergeCell ref="C64:I64"/>
    <mergeCell ref="C71:I71"/>
    <mergeCell ref="C102:I102"/>
    <mergeCell ref="C109:I109"/>
    <mergeCell ref="C116:I116"/>
    <mergeCell ref="G308:I308"/>
    <mergeCell ref="G208:I208"/>
    <mergeCell ref="G210:I210"/>
    <mergeCell ref="G222:I222"/>
    <mergeCell ref="G223:I223"/>
    <mergeCell ref="G239:I239"/>
    <mergeCell ref="G252:I252"/>
    <mergeCell ref="C302:I302"/>
    <mergeCell ref="C295:I295"/>
    <mergeCell ref="G184:I184"/>
    <mergeCell ref="G186:I186"/>
    <mergeCell ref="G187:I187"/>
    <mergeCell ref="G191:I191"/>
    <mergeCell ref="G179:I179"/>
    <mergeCell ref="G182:I182"/>
    <mergeCell ref="G183:I183"/>
    <mergeCell ref="G296:I296"/>
    <mergeCell ref="G301:I301"/>
  </mergeCells>
  <conditionalFormatting sqref="G1">
    <cfRule type="containsText" dxfId="11" priority="1" operator="containsText" text="CHUTTI">
      <formula>NOT(ISERROR(SEARCH("CHUTTI",G1)))</formula>
    </cfRule>
    <cfRule type="containsText" dxfId="10" priority="2" operator="containsText" text="LATE">
      <formula>NOT(ISERROR(SEARCH("LATE",G1)))</formula>
    </cfRule>
    <cfRule type="containsText" dxfId="9" priority="3" operator="containsText" text="ABSENT">
      <formula>NOT(ISERROR(SEARCH("ABSENT",G1)))</formula>
    </cfRule>
    <cfRule type="containsText" dxfId="8" priority="4" operator="containsText" text="OK">
      <formula>NOT(ISERROR(SEARCH("OK",G1)))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301"/>
  <sheetViews>
    <sheetView topLeftCell="A161" workbookViewId="0">
      <selection activeCell="K11" sqref="K11"/>
    </sheetView>
  </sheetViews>
  <sheetFormatPr defaultColWidth="9.140625" defaultRowHeight="12.75" x14ac:dyDescent="0.25"/>
  <cols>
    <col min="1" max="1" width="18" style="27" customWidth="1"/>
    <col min="2" max="2" width="10.140625" style="27" bestFit="1" customWidth="1"/>
    <col min="3" max="3" width="13.42578125" style="27" customWidth="1"/>
    <col min="4" max="4" width="11.28515625" style="27" bestFit="1" customWidth="1"/>
    <col min="5" max="6" width="9.140625" style="27"/>
    <col min="7" max="7" width="9.140625" style="41"/>
    <col min="8" max="8" width="13.140625" style="27" bestFit="1" customWidth="1"/>
    <col min="9" max="16384" width="9.140625" style="27"/>
  </cols>
  <sheetData>
    <row r="1" spans="1:9" ht="45" x14ac:dyDescent="0.25">
      <c r="A1" s="28" t="s">
        <v>0</v>
      </c>
      <c r="B1" s="28" t="s">
        <v>1</v>
      </c>
      <c r="C1" s="28" t="s">
        <v>31</v>
      </c>
      <c r="D1" s="28" t="s">
        <v>454</v>
      </c>
      <c r="E1" s="28" t="s">
        <v>455</v>
      </c>
      <c r="F1" s="39" t="s">
        <v>453</v>
      </c>
      <c r="G1" s="40" t="s">
        <v>4</v>
      </c>
      <c r="H1" s="21" t="s">
        <v>5</v>
      </c>
      <c r="I1" s="22" t="s">
        <v>6</v>
      </c>
    </row>
    <row r="2" spans="1:9" ht="15" hidden="1" customHeight="1" x14ac:dyDescent="0.25">
      <c r="A2" s="28" t="s">
        <v>48</v>
      </c>
      <c r="B2" s="29">
        <v>46113</v>
      </c>
      <c r="C2" s="32" t="s">
        <v>459</v>
      </c>
      <c r="D2" s="44" t="s">
        <v>595</v>
      </c>
      <c r="E2" s="45" t="s">
        <v>389</v>
      </c>
      <c r="F2" s="45" t="s">
        <v>596</v>
      </c>
      <c r="G2" s="28" t="str">
        <f>IF(C2="Sunday", "SUNDAY", IF(OR(D2=0, D2="", D2="0:0"), "ABSENT", IF(MOD(D2,1) &gt; TIME(9,45,0), "LATE", "OK")))</f>
        <v>LATE</v>
      </c>
      <c r="H2" s="31">
        <f>IF(OR(D2=0, D2="", E2=0, E2=""), 0, (E2-D2)-TIME(1,0,0))</f>
        <v>0.15416666666666665</v>
      </c>
      <c r="I2" s="27" t="s">
        <v>655</v>
      </c>
    </row>
    <row r="3" spans="1:9" hidden="1" x14ac:dyDescent="0.25">
      <c r="A3" s="28" t="s">
        <v>48</v>
      </c>
      <c r="B3" s="29">
        <v>46114</v>
      </c>
      <c r="C3" s="32" t="s">
        <v>460</v>
      </c>
      <c r="D3" s="34" t="s">
        <v>272</v>
      </c>
      <c r="E3" s="34" t="s">
        <v>381</v>
      </c>
      <c r="F3" s="34" t="s">
        <v>293</v>
      </c>
      <c r="G3" s="28" t="str">
        <f>IF(C3="Sunday", "SUNDAY", IF(OR(D3=0, D3="", D3="0:0"), "ABSENT", IF(MOD(D3,1) &gt; TIME(9,45,0), "LATE", "OK")))</f>
        <v>OK</v>
      </c>
      <c r="H3" s="31">
        <f>IF(OR(D3=0, D3="", E3=0, E3=""), 0, (E3-D3)-TIME(1,0,0))</f>
        <v>0.3125</v>
      </c>
      <c r="I3" s="27" t="str">
        <f>IF(VALUE(E3) &gt; TIME(19,0,0), TEXT(VALUE(E3) - TIME(19,0,0), "hh:mm"), "NO OT")</f>
        <v>NO OT</v>
      </c>
    </row>
    <row r="4" spans="1:9" hidden="1" x14ac:dyDescent="0.25">
      <c r="A4" s="28" t="s">
        <v>48</v>
      </c>
      <c r="B4" s="29">
        <v>46115</v>
      </c>
      <c r="C4" s="32" t="s">
        <v>461</v>
      </c>
      <c r="D4" s="34" t="s">
        <v>206</v>
      </c>
      <c r="E4" s="34" t="s">
        <v>389</v>
      </c>
      <c r="F4" s="34" t="s">
        <v>213</v>
      </c>
      <c r="G4" s="28" t="str">
        <f t="shared" ref="G4:G7" si="0">IF(C4="Sunday", "SUNDAY", IF(OR(D4=0, D4="", D4="0:0"), "ABSENT", IF(MOD(D4,1) &gt; TIME(9,45,0), "LATE", "OK")))</f>
        <v>OK</v>
      </c>
      <c r="H4" s="31">
        <f t="shared" ref="H4:H66" si="1">IF(OR(D4=0, D4="", E4=0, E4=""), 0, (E4-D4)-TIME(1,0,0))</f>
        <v>0.33124999999999993</v>
      </c>
      <c r="I4" s="27" t="str">
        <f t="shared" ref="I4:I7" si="2">IF(VALUE(E4) &gt; TIME(19,0,0), TEXT(VALUE(E4) - TIME(19,0,0), "hh:mm"), "NO OT")</f>
        <v>NO OT</v>
      </c>
    </row>
    <row r="5" spans="1:9" hidden="1" x14ac:dyDescent="0.25">
      <c r="A5" s="28" t="s">
        <v>48</v>
      </c>
      <c r="B5" s="29">
        <v>46116</v>
      </c>
      <c r="C5" s="32" t="s">
        <v>463</v>
      </c>
      <c r="D5" s="34" t="s">
        <v>240</v>
      </c>
      <c r="E5" s="42" t="s">
        <v>597</v>
      </c>
      <c r="F5" s="34" t="s">
        <v>598</v>
      </c>
      <c r="G5" s="28" t="str">
        <f t="shared" ref="G5" si="3">IF(C5="Sunday", "SUNDAY", IF(OR(D5=0, D5="", D5="0:0"), "ABSENT", IF(MOD(D5,1) &gt; TIME(9,45,0), "LATE", "OK")))</f>
        <v>OK</v>
      </c>
      <c r="H5" s="31">
        <f t="shared" ref="H5" si="4">IF(OR(D5=0, D5="", E5=0, E5=""), 0, (E5-D5)-TIME(1,0,0))</f>
        <v>0.10694444444444443</v>
      </c>
      <c r="I5" s="27" t="s">
        <v>655</v>
      </c>
    </row>
    <row r="6" spans="1:9" hidden="1" x14ac:dyDescent="0.25">
      <c r="A6" s="28" t="s">
        <v>48</v>
      </c>
      <c r="B6" s="29">
        <v>46117</v>
      </c>
      <c r="C6" s="33" t="s">
        <v>456</v>
      </c>
      <c r="D6" s="34"/>
      <c r="E6" s="34"/>
      <c r="F6" s="34"/>
      <c r="G6" s="33" t="str">
        <f t="shared" si="0"/>
        <v>SUNDAY</v>
      </c>
      <c r="H6" s="31">
        <f t="shared" si="1"/>
        <v>0</v>
      </c>
      <c r="I6" s="27" t="str">
        <f t="shared" si="2"/>
        <v>NO OT</v>
      </c>
    </row>
    <row r="7" spans="1:9" hidden="1" x14ac:dyDescent="0.25">
      <c r="A7" s="28" t="s">
        <v>48</v>
      </c>
      <c r="B7" s="29">
        <v>46118</v>
      </c>
      <c r="C7" s="32" t="s">
        <v>457</v>
      </c>
      <c r="D7" s="34" t="s">
        <v>192</v>
      </c>
      <c r="E7" s="34" t="s">
        <v>259</v>
      </c>
      <c r="F7" s="34" t="s">
        <v>262</v>
      </c>
      <c r="G7" s="28" t="str">
        <f t="shared" si="0"/>
        <v>LATE</v>
      </c>
      <c r="H7" s="31">
        <f t="shared" si="1"/>
        <v>0.32361111111111113</v>
      </c>
      <c r="I7" s="27" t="str">
        <f t="shared" si="2"/>
        <v>NO OT</v>
      </c>
    </row>
    <row r="8" spans="1:9" hidden="1" x14ac:dyDescent="0.25">
      <c r="A8" s="28" t="s">
        <v>48</v>
      </c>
      <c r="B8" s="29">
        <v>46119</v>
      </c>
      <c r="C8" s="32" t="s">
        <v>458</v>
      </c>
      <c r="D8" s="34" t="s">
        <v>199</v>
      </c>
      <c r="E8" s="34" t="s">
        <v>376</v>
      </c>
      <c r="F8" s="34" t="s">
        <v>350</v>
      </c>
      <c r="G8" s="28" t="str">
        <f t="shared" ref="G8:G9" si="5">IF(C8="Sunday", "SUNDAY", IF(OR(D8=0, D8="", D8="0:0"), "ABSENT", IF(MOD(D8,1) &gt; TIME(9,45,0), "LATE", "OK")))</f>
        <v>LATE</v>
      </c>
      <c r="H8" s="31">
        <f t="shared" ref="H8:H9" si="6">IF(OR(D8=0, D8="", E8=0, E8=""), 0, (E8-D8)-TIME(1,0,0))</f>
        <v>0.33402777777777776</v>
      </c>
      <c r="I8" s="27" t="str">
        <f t="shared" ref="I8:I9" si="7">IF(VALUE(E8) &gt; TIME(19,0,0), TEXT(VALUE(E8) - TIME(19,0,0), "hh:mm"), "NO OT")</f>
        <v>NO OT</v>
      </c>
    </row>
    <row r="9" spans="1:9" hidden="1" x14ac:dyDescent="0.25">
      <c r="A9" s="28" t="s">
        <v>48</v>
      </c>
      <c r="B9" s="29">
        <v>46120</v>
      </c>
      <c r="C9" s="32" t="s">
        <v>459</v>
      </c>
      <c r="D9" s="34"/>
      <c r="E9" s="34"/>
      <c r="F9" s="34"/>
      <c r="G9" s="33" t="str">
        <f t="shared" si="5"/>
        <v>ABSENT</v>
      </c>
      <c r="H9" s="31">
        <f t="shared" si="6"/>
        <v>0</v>
      </c>
      <c r="I9" s="27" t="str">
        <f t="shared" si="7"/>
        <v>NO OT</v>
      </c>
    </row>
    <row r="10" spans="1:9" hidden="1" x14ac:dyDescent="0.25">
      <c r="A10" s="28" t="s">
        <v>48</v>
      </c>
      <c r="B10" s="29">
        <v>46121</v>
      </c>
      <c r="C10" s="32" t="s">
        <v>460</v>
      </c>
      <c r="D10" s="34" t="s">
        <v>269</v>
      </c>
      <c r="E10" s="34" t="s">
        <v>220</v>
      </c>
      <c r="F10" s="34" t="s">
        <v>355</v>
      </c>
      <c r="G10" s="28" t="str">
        <f t="shared" ref="G10:G15" si="8">IF(C10="Sunday", "SUNDAY", IF(OR(D10=0, D10="", D10="0:0"), "ABSENT", IF(MOD(D10,1) &gt; TIME(9,45,0), "LATE", "OK")))</f>
        <v>OK</v>
      </c>
      <c r="H10" s="31">
        <f t="shared" si="1"/>
        <v>0.3347222222222222</v>
      </c>
      <c r="I10" s="27" t="str">
        <f t="shared" ref="I10:I15" si="9">IF(VALUE(E10) &gt; TIME(19,0,0), TEXT(VALUE(E10) - TIME(19,0,0), "hh:mm"), "NO OT")</f>
        <v>NO OT</v>
      </c>
    </row>
    <row r="11" spans="1:9" hidden="1" x14ac:dyDescent="0.25">
      <c r="A11" s="28" t="s">
        <v>48</v>
      </c>
      <c r="B11" s="29">
        <v>46122</v>
      </c>
      <c r="C11" s="32" t="s">
        <v>461</v>
      </c>
      <c r="D11" s="34" t="s">
        <v>305</v>
      </c>
      <c r="E11" s="34" t="s">
        <v>209</v>
      </c>
      <c r="F11" s="34" t="s">
        <v>327</v>
      </c>
      <c r="G11" s="28" t="str">
        <f t="shared" si="8"/>
        <v>OK</v>
      </c>
      <c r="H11" s="31">
        <f t="shared" si="1"/>
        <v>0.32222222222222224</v>
      </c>
      <c r="I11" s="27" t="str">
        <f t="shared" si="9"/>
        <v>NO OT</v>
      </c>
    </row>
    <row r="12" spans="1:9" hidden="1" x14ac:dyDescent="0.25">
      <c r="A12" s="28" t="s">
        <v>48</v>
      </c>
      <c r="B12" s="29">
        <v>46123</v>
      </c>
      <c r="C12" s="32" t="s">
        <v>463</v>
      </c>
      <c r="D12" s="34" t="s">
        <v>255</v>
      </c>
      <c r="E12" s="34" t="s">
        <v>599</v>
      </c>
      <c r="F12" s="34" t="s">
        <v>600</v>
      </c>
      <c r="G12" s="28" t="str">
        <f t="shared" si="8"/>
        <v>OK</v>
      </c>
      <c r="H12" s="31">
        <f t="shared" si="1"/>
        <v>0.27847222222222218</v>
      </c>
      <c r="I12" s="27" t="str">
        <f t="shared" si="9"/>
        <v>NO OT</v>
      </c>
    </row>
    <row r="13" spans="1:9" hidden="1" x14ac:dyDescent="0.25">
      <c r="A13" s="28" t="s">
        <v>48</v>
      </c>
      <c r="B13" s="29">
        <v>46124</v>
      </c>
      <c r="C13" s="33" t="s">
        <v>456</v>
      </c>
      <c r="D13" s="34"/>
      <c r="E13" s="34"/>
      <c r="F13" s="34"/>
      <c r="G13" s="33" t="str">
        <f t="shared" si="8"/>
        <v>SUNDAY</v>
      </c>
      <c r="H13" s="31">
        <f t="shared" si="1"/>
        <v>0</v>
      </c>
      <c r="I13" s="27" t="str">
        <f t="shared" si="9"/>
        <v>NO OT</v>
      </c>
    </row>
    <row r="14" spans="1:9" hidden="1" x14ac:dyDescent="0.25">
      <c r="A14" s="28" t="s">
        <v>48</v>
      </c>
      <c r="B14" s="29">
        <v>46125</v>
      </c>
      <c r="C14" s="32" t="s">
        <v>457</v>
      </c>
      <c r="D14" s="34" t="s">
        <v>253</v>
      </c>
      <c r="E14" s="34" t="s">
        <v>203</v>
      </c>
      <c r="F14" s="34" t="s">
        <v>306</v>
      </c>
      <c r="G14" s="28" t="str">
        <f t="shared" si="8"/>
        <v>LATE</v>
      </c>
      <c r="H14" s="31">
        <f t="shared" si="1"/>
        <v>0.32500000000000001</v>
      </c>
      <c r="I14" s="27" t="str">
        <f t="shared" si="9"/>
        <v>NO OT</v>
      </c>
    </row>
    <row r="15" spans="1:9" hidden="1" x14ac:dyDescent="0.25">
      <c r="A15" s="28" t="s">
        <v>48</v>
      </c>
      <c r="B15" s="29">
        <v>46126</v>
      </c>
      <c r="C15" s="32" t="s">
        <v>458</v>
      </c>
      <c r="D15" s="34" t="s">
        <v>415</v>
      </c>
      <c r="E15" s="34" t="s">
        <v>12</v>
      </c>
      <c r="F15" s="34" t="s">
        <v>188</v>
      </c>
      <c r="G15" s="28" t="str">
        <f t="shared" si="8"/>
        <v>OK</v>
      </c>
      <c r="H15" s="31">
        <f t="shared" si="1"/>
        <v>-0.43680555555555556</v>
      </c>
      <c r="I15" s="27" t="str">
        <f t="shared" si="9"/>
        <v>NO OT</v>
      </c>
    </row>
    <row r="16" spans="1:9" hidden="1" x14ac:dyDescent="0.25">
      <c r="A16" s="28" t="s">
        <v>48</v>
      </c>
      <c r="B16" s="29">
        <v>46127</v>
      </c>
      <c r="C16" s="32" t="s">
        <v>459</v>
      </c>
      <c r="D16" s="34" t="s">
        <v>269</v>
      </c>
      <c r="E16" s="34" t="s">
        <v>212</v>
      </c>
      <c r="F16" s="34" t="s">
        <v>307</v>
      </c>
      <c r="G16" s="28" t="str">
        <f t="shared" ref="G16" si="10">IF(C16="Sunday", "SUNDAY", IF(OR(D16=0, D16="", D16="0:0"), "ABSENT", IF(MOD(D16,1) &gt; TIME(9,45,0), "LATE", "OK")))</f>
        <v>OK</v>
      </c>
      <c r="H16" s="31">
        <f t="shared" ref="H16" si="11">IF(OR(D16=0, D16="", E16=0, E16=""), 0, (E16-D16)-TIME(1,0,0))</f>
        <v>0.33055555555555544</v>
      </c>
      <c r="I16" s="27" t="str">
        <f t="shared" ref="I16" si="12">IF(VALUE(E16) &gt; TIME(19,0,0), TEXT(VALUE(E16) - TIME(19,0,0), "hh:mm"), "NO OT")</f>
        <v>NO OT</v>
      </c>
    </row>
    <row r="17" spans="1:9" hidden="1" x14ac:dyDescent="0.25">
      <c r="A17" s="28" t="s">
        <v>48</v>
      </c>
      <c r="B17" s="29">
        <v>46128</v>
      </c>
      <c r="C17" s="32" t="s">
        <v>460</v>
      </c>
      <c r="D17" s="34"/>
      <c r="E17" s="34"/>
      <c r="F17" s="34"/>
      <c r="G17" s="33" t="str">
        <f t="shared" ref="G17:G21" si="13">IF(C17="Sunday", "SUNDAY", IF(OR(D17=0, D17="", D17="0:0"), "ABSENT", IF(MOD(D17,1) &gt; TIME(9,45,0), "LATE", "OK")))</f>
        <v>ABSENT</v>
      </c>
      <c r="H17" s="31">
        <f t="shared" si="1"/>
        <v>0</v>
      </c>
      <c r="I17" s="27" t="str">
        <f t="shared" ref="I17:I21" si="14">IF(VALUE(E17) &gt; TIME(19,0,0), TEXT(VALUE(E17) - TIME(19,0,0), "hh:mm"), "NO OT")</f>
        <v>NO OT</v>
      </c>
    </row>
    <row r="18" spans="1:9" hidden="1" x14ac:dyDescent="0.25">
      <c r="A18" s="28" t="s">
        <v>48</v>
      </c>
      <c r="B18" s="29">
        <v>46129</v>
      </c>
      <c r="C18" s="32" t="s">
        <v>461</v>
      </c>
      <c r="D18" s="34"/>
      <c r="E18" s="34"/>
      <c r="F18" s="34"/>
      <c r="G18" s="33" t="str">
        <f t="shared" si="13"/>
        <v>ABSENT</v>
      </c>
      <c r="H18" s="31">
        <f t="shared" si="1"/>
        <v>0</v>
      </c>
      <c r="I18" s="27" t="str">
        <f t="shared" si="14"/>
        <v>NO OT</v>
      </c>
    </row>
    <row r="19" spans="1:9" hidden="1" x14ac:dyDescent="0.25">
      <c r="A19" s="28" t="s">
        <v>48</v>
      </c>
      <c r="B19" s="29">
        <v>46130</v>
      </c>
      <c r="C19" s="32" t="s">
        <v>463</v>
      </c>
      <c r="D19" s="34"/>
      <c r="E19" s="34"/>
      <c r="F19" s="34"/>
      <c r="G19" s="33" t="str">
        <f t="shared" si="13"/>
        <v>ABSENT</v>
      </c>
      <c r="H19" s="31">
        <f t="shared" si="1"/>
        <v>0</v>
      </c>
      <c r="I19" s="27" t="str">
        <f t="shared" si="14"/>
        <v>NO OT</v>
      </c>
    </row>
    <row r="20" spans="1:9" hidden="1" x14ac:dyDescent="0.25">
      <c r="A20" s="28" t="s">
        <v>48</v>
      </c>
      <c r="B20" s="29">
        <v>46131</v>
      </c>
      <c r="C20" s="33" t="s">
        <v>456</v>
      </c>
      <c r="D20" s="34"/>
      <c r="E20" s="34"/>
      <c r="F20" s="34"/>
      <c r="G20" s="33" t="str">
        <f t="shared" si="13"/>
        <v>SUNDAY</v>
      </c>
      <c r="H20" s="31">
        <f t="shared" si="1"/>
        <v>0</v>
      </c>
      <c r="I20" s="27" t="str">
        <f t="shared" si="14"/>
        <v>NO OT</v>
      </c>
    </row>
    <row r="21" spans="1:9" hidden="1" x14ac:dyDescent="0.25">
      <c r="A21" s="28" t="s">
        <v>48</v>
      </c>
      <c r="B21" s="29">
        <v>46132</v>
      </c>
      <c r="C21" s="32" t="s">
        <v>457</v>
      </c>
      <c r="D21" s="34" t="s">
        <v>256</v>
      </c>
      <c r="E21" s="34" t="s">
        <v>353</v>
      </c>
      <c r="F21" s="34" t="s">
        <v>449</v>
      </c>
      <c r="G21" s="28" t="str">
        <f t="shared" si="13"/>
        <v>OK</v>
      </c>
      <c r="H21" s="31">
        <f t="shared" si="1"/>
        <v>0.34374999999999994</v>
      </c>
      <c r="I21" s="27" t="str">
        <f t="shared" si="14"/>
        <v>NO OT</v>
      </c>
    </row>
    <row r="22" spans="1:9" hidden="1" x14ac:dyDescent="0.25">
      <c r="A22" s="28" t="s">
        <v>48</v>
      </c>
      <c r="B22" s="29">
        <v>46133</v>
      </c>
      <c r="C22" s="32" t="s">
        <v>458</v>
      </c>
      <c r="D22" s="34" t="s">
        <v>216</v>
      </c>
      <c r="E22" s="34" t="s">
        <v>346</v>
      </c>
      <c r="F22" s="34" t="s">
        <v>372</v>
      </c>
      <c r="G22" s="28" t="str">
        <f t="shared" ref="G22:G25" si="15">IF(C22="Sunday", "SUNDAY", IF(OR(D22=0, D22="", D22="0:0"), "ABSENT", IF(MOD(D22,1) &gt; TIME(9,45,0), "LATE", "OK")))</f>
        <v>LATE</v>
      </c>
      <c r="H22" s="31">
        <f t="shared" ref="H22:H25" si="16">IF(OR(D22=0, D22="", E22=0, E22=""), 0, (E22-D22)-TIME(1,0,0))</f>
        <v>0.32708333333333334</v>
      </c>
      <c r="I22" s="27" t="str">
        <f t="shared" ref="I22:I25" si="17">IF(VALUE(E22) &gt; TIME(19,0,0), TEXT(VALUE(E22) - TIME(19,0,0), "hh:mm"), "NO OT")</f>
        <v>NO OT</v>
      </c>
    </row>
    <row r="23" spans="1:9" hidden="1" x14ac:dyDescent="0.25">
      <c r="A23" s="28" t="s">
        <v>48</v>
      </c>
      <c r="B23" s="29">
        <v>46134</v>
      </c>
      <c r="C23" s="32" t="s">
        <v>459</v>
      </c>
      <c r="D23" s="34" t="s">
        <v>502</v>
      </c>
      <c r="E23" s="34" t="s">
        <v>190</v>
      </c>
      <c r="F23" s="34" t="s">
        <v>301</v>
      </c>
      <c r="G23" s="28" t="str">
        <f t="shared" si="15"/>
        <v>OK</v>
      </c>
      <c r="H23" s="31">
        <f t="shared" si="16"/>
        <v>0.34305555555555556</v>
      </c>
      <c r="I23" s="27" t="str">
        <f t="shared" si="17"/>
        <v>NO OT</v>
      </c>
    </row>
    <row r="24" spans="1:9" hidden="1" x14ac:dyDescent="0.25">
      <c r="A24" s="28" t="s">
        <v>48</v>
      </c>
      <c r="B24" s="29">
        <v>46135</v>
      </c>
      <c r="C24" s="32" t="s">
        <v>460</v>
      </c>
      <c r="D24" s="34" t="s">
        <v>240</v>
      </c>
      <c r="E24" s="34" t="s">
        <v>254</v>
      </c>
      <c r="F24" s="34" t="s">
        <v>307</v>
      </c>
      <c r="G24" s="28" t="str">
        <f t="shared" si="15"/>
        <v>OK</v>
      </c>
      <c r="H24" s="31">
        <f t="shared" si="16"/>
        <v>0.3305555555555556</v>
      </c>
      <c r="I24" s="27" t="str">
        <f t="shared" si="17"/>
        <v>NO OT</v>
      </c>
    </row>
    <row r="25" spans="1:9" hidden="1" x14ac:dyDescent="0.25">
      <c r="A25" s="28" t="s">
        <v>48</v>
      </c>
      <c r="B25" s="29">
        <v>46136</v>
      </c>
      <c r="C25" s="32" t="s">
        <v>461</v>
      </c>
      <c r="D25" s="34" t="s">
        <v>211</v>
      </c>
      <c r="E25" s="34" t="s">
        <v>601</v>
      </c>
      <c r="F25" s="34" t="s">
        <v>358</v>
      </c>
      <c r="G25" s="28" t="str">
        <f t="shared" si="15"/>
        <v>OK</v>
      </c>
      <c r="H25" s="31">
        <f t="shared" si="16"/>
        <v>0.33958333333333324</v>
      </c>
      <c r="I25" s="27" t="str">
        <f t="shared" si="17"/>
        <v>NO OT</v>
      </c>
    </row>
    <row r="26" spans="1:9" hidden="1" x14ac:dyDescent="0.25">
      <c r="A26" s="28" t="s">
        <v>48</v>
      </c>
      <c r="B26" s="29">
        <v>46137</v>
      </c>
      <c r="C26" s="32" t="s">
        <v>463</v>
      </c>
      <c r="D26" s="34" t="s">
        <v>202</v>
      </c>
      <c r="E26" s="34" t="s">
        <v>209</v>
      </c>
      <c r="F26" s="34" t="s">
        <v>210</v>
      </c>
      <c r="G26" s="28" t="str">
        <f t="shared" ref="G26:G29" si="18">IF(C26="Sunday", "SUNDAY", IF(OR(D26=0, D26="", D26="0:0"), "ABSENT", IF(MOD(D26,1) &gt; TIME(9,45,0), "LATE", "OK")))</f>
        <v>OK</v>
      </c>
      <c r="H26" s="31">
        <f t="shared" si="1"/>
        <v>0.33263888888888893</v>
      </c>
      <c r="I26" s="27" t="str">
        <f t="shared" ref="I26:I29" si="19">IF(VALUE(E26) &gt; TIME(19,0,0), TEXT(VALUE(E26) - TIME(19,0,0), "hh:mm"), "NO OT")</f>
        <v>NO OT</v>
      </c>
    </row>
    <row r="27" spans="1:9" hidden="1" x14ac:dyDescent="0.25">
      <c r="A27" s="28" t="s">
        <v>48</v>
      </c>
      <c r="B27" s="29">
        <v>46138</v>
      </c>
      <c r="C27" s="33" t="s">
        <v>456</v>
      </c>
      <c r="D27" s="34"/>
      <c r="E27" s="34"/>
      <c r="F27" s="34"/>
      <c r="G27" s="33" t="str">
        <f t="shared" si="18"/>
        <v>SUNDAY</v>
      </c>
      <c r="H27" s="31">
        <f t="shared" si="1"/>
        <v>0</v>
      </c>
      <c r="I27" s="27" t="str">
        <f t="shared" si="19"/>
        <v>NO OT</v>
      </c>
    </row>
    <row r="28" spans="1:9" hidden="1" x14ac:dyDescent="0.25">
      <c r="A28" s="28" t="s">
        <v>48</v>
      </c>
      <c r="B28" s="29">
        <v>46139</v>
      </c>
      <c r="C28" s="32" t="s">
        <v>457</v>
      </c>
      <c r="D28" s="34" t="s">
        <v>305</v>
      </c>
      <c r="E28" s="34" t="s">
        <v>311</v>
      </c>
      <c r="F28" s="34" t="s">
        <v>367</v>
      </c>
      <c r="G28" s="28" t="str">
        <f t="shared" si="18"/>
        <v>OK</v>
      </c>
      <c r="H28" s="31">
        <f t="shared" si="1"/>
        <v>0.32569444444444445</v>
      </c>
      <c r="I28" s="27" t="str">
        <f t="shared" si="19"/>
        <v>NO OT</v>
      </c>
    </row>
    <row r="29" spans="1:9" hidden="1" x14ac:dyDescent="0.25">
      <c r="A29" s="28" t="s">
        <v>48</v>
      </c>
      <c r="B29" s="29">
        <v>46140</v>
      </c>
      <c r="C29" s="32" t="s">
        <v>458</v>
      </c>
      <c r="D29" s="34" t="s">
        <v>403</v>
      </c>
      <c r="E29" s="34" t="s">
        <v>292</v>
      </c>
      <c r="F29" s="34" t="s">
        <v>204</v>
      </c>
      <c r="G29" s="28" t="str">
        <f t="shared" si="18"/>
        <v>OK</v>
      </c>
      <c r="H29" s="31">
        <f t="shared" si="1"/>
        <v>0.34097222222222223</v>
      </c>
      <c r="I29" s="27" t="str">
        <f t="shared" si="19"/>
        <v>NO OT</v>
      </c>
    </row>
    <row r="30" spans="1:9" hidden="1" x14ac:dyDescent="0.25">
      <c r="A30" s="28" t="s">
        <v>48</v>
      </c>
      <c r="B30" s="29">
        <v>46141</v>
      </c>
      <c r="C30" s="32" t="s">
        <v>459</v>
      </c>
      <c r="D30" s="34" t="s">
        <v>258</v>
      </c>
      <c r="E30" s="34" t="s">
        <v>602</v>
      </c>
      <c r="F30" s="34" t="s">
        <v>304</v>
      </c>
      <c r="G30" s="28" t="str">
        <f t="shared" ref="G30" si="20">IF(C30="Sunday", "SUNDAY", IF(OR(D30=0, D30="", D30="0:0"), "ABSENT", IF(MOD(D30,1) &gt; TIME(9,45,0), "LATE", "OK")))</f>
        <v>OK</v>
      </c>
      <c r="H30" s="31">
        <f t="shared" ref="H30" si="21">IF(OR(D30=0, D30="", E30=0, E30=""), 0, (E30-D30)-TIME(1,0,0))</f>
        <v>0.34583333333333333</v>
      </c>
      <c r="I30" s="27" t="str">
        <f t="shared" ref="I30" si="22">IF(VALUE(E30) &gt; TIME(19,0,0), TEXT(VALUE(E30) - TIME(19,0,0), "hh:mm"), "NO OT")</f>
        <v>NO OT</v>
      </c>
    </row>
    <row r="31" spans="1:9" hidden="1" x14ac:dyDescent="0.25">
      <c r="A31" s="28" t="s">
        <v>48</v>
      </c>
      <c r="B31" s="29">
        <v>46142</v>
      </c>
      <c r="C31" s="32" t="s">
        <v>460</v>
      </c>
      <c r="D31" s="34" t="s">
        <v>258</v>
      </c>
      <c r="E31" s="34" t="s">
        <v>259</v>
      </c>
      <c r="F31" s="34" t="s">
        <v>248</v>
      </c>
      <c r="G31" s="28" t="str">
        <f t="shared" ref="G31:G32" si="23">IF(C31="Sunday", "SUNDAY", IF(OR(D31=0, D31="", D31="0:0"), "ABSENT", IF(MOD(D31,1) &gt; TIME(9,45,0), "LATE", "OK")))</f>
        <v>OK</v>
      </c>
      <c r="H31" s="31">
        <f t="shared" si="1"/>
        <v>0.33750000000000002</v>
      </c>
      <c r="I31" s="27" t="str">
        <f t="shared" ref="I31:I32" si="24">IF(VALUE(E31) &gt; TIME(19,0,0), TEXT(VALUE(E31) - TIME(19,0,0), "hh:mm"), "NO OT")</f>
        <v>NO OT</v>
      </c>
    </row>
    <row r="32" spans="1:9" hidden="1" x14ac:dyDescent="0.25">
      <c r="A32" s="28" t="s">
        <v>49</v>
      </c>
      <c r="B32" s="29">
        <v>46113</v>
      </c>
      <c r="C32" s="32" t="s">
        <v>459</v>
      </c>
      <c r="D32" s="34" t="s">
        <v>206</v>
      </c>
      <c r="E32" s="34" t="s">
        <v>190</v>
      </c>
      <c r="F32" s="34" t="s">
        <v>373</v>
      </c>
      <c r="G32" s="28" t="str">
        <f t="shared" si="23"/>
        <v>OK</v>
      </c>
      <c r="H32" s="31">
        <f t="shared" si="1"/>
        <v>0.32638888888888895</v>
      </c>
      <c r="I32" s="27" t="str">
        <f t="shared" si="24"/>
        <v>NO OT</v>
      </c>
    </row>
    <row r="33" spans="1:9" hidden="1" x14ac:dyDescent="0.25">
      <c r="A33" s="28" t="s">
        <v>49</v>
      </c>
      <c r="B33" s="29">
        <v>46114</v>
      </c>
      <c r="C33" s="32" t="s">
        <v>460</v>
      </c>
      <c r="D33" s="34" t="s">
        <v>305</v>
      </c>
      <c r="E33" s="34" t="s">
        <v>296</v>
      </c>
      <c r="F33" s="34" t="s">
        <v>294</v>
      </c>
      <c r="G33" s="28" t="str">
        <f t="shared" ref="G33:G37" si="25">IF(C33="Sunday", "SUNDAY", IF(OR(D33=0, D33="", D33="0:0"), "ABSENT", IF(MOD(D33,1) &gt; TIME(9,45,0), "LATE", "OK")))</f>
        <v>OK</v>
      </c>
      <c r="H33" s="31">
        <f t="shared" ref="H33:H37" si="26">IF(OR(D33=0, D33="", E33=0, E33=""), 0, (E33-D33)-TIME(1,0,0))</f>
        <v>0.33611111111111108</v>
      </c>
      <c r="I33" s="27" t="str">
        <f t="shared" ref="I33:I37" si="27">IF(VALUE(E33) &gt; TIME(19,0,0), TEXT(VALUE(E33) - TIME(19,0,0), "hh:mm"), "NO OT")</f>
        <v>NO OT</v>
      </c>
    </row>
    <row r="34" spans="1:9" hidden="1" x14ac:dyDescent="0.25">
      <c r="A34" s="28" t="s">
        <v>49</v>
      </c>
      <c r="B34" s="29">
        <v>46115</v>
      </c>
      <c r="C34" s="32" t="s">
        <v>461</v>
      </c>
      <c r="D34" s="34" t="s">
        <v>288</v>
      </c>
      <c r="E34" s="34" t="s">
        <v>217</v>
      </c>
      <c r="F34" s="34" t="s">
        <v>304</v>
      </c>
      <c r="G34" s="33" t="str">
        <f t="shared" si="25"/>
        <v>OK</v>
      </c>
      <c r="H34" s="31">
        <f t="shared" si="26"/>
        <v>0.34583333333333333</v>
      </c>
      <c r="I34" s="27" t="str">
        <f t="shared" si="27"/>
        <v>NO OT</v>
      </c>
    </row>
    <row r="35" spans="1:9" hidden="1" x14ac:dyDescent="0.25">
      <c r="A35" s="28" t="s">
        <v>49</v>
      </c>
      <c r="B35" s="29">
        <v>46116</v>
      </c>
      <c r="C35" s="32" t="s">
        <v>463</v>
      </c>
      <c r="D35" s="34" t="s">
        <v>494</v>
      </c>
      <c r="E35" s="34" t="s">
        <v>603</v>
      </c>
      <c r="F35" s="34" t="s">
        <v>215</v>
      </c>
      <c r="G35" s="28" t="str">
        <f t="shared" si="25"/>
        <v>OK</v>
      </c>
      <c r="H35" s="31">
        <f t="shared" si="26"/>
        <v>0.31805555555555554</v>
      </c>
      <c r="I35" s="27" t="str">
        <f t="shared" si="27"/>
        <v>NO OT</v>
      </c>
    </row>
    <row r="36" spans="1:9" hidden="1" x14ac:dyDescent="0.25">
      <c r="A36" s="28" t="s">
        <v>49</v>
      </c>
      <c r="B36" s="29">
        <v>46117</v>
      </c>
      <c r="C36" s="33" t="s">
        <v>456</v>
      </c>
      <c r="D36" s="34"/>
      <c r="E36" s="34"/>
      <c r="F36" s="34"/>
      <c r="G36" s="33" t="str">
        <f t="shared" si="25"/>
        <v>SUNDAY</v>
      </c>
      <c r="H36" s="31">
        <f t="shared" si="26"/>
        <v>0</v>
      </c>
      <c r="I36" s="27" t="str">
        <f t="shared" si="27"/>
        <v>NO OT</v>
      </c>
    </row>
    <row r="37" spans="1:9" hidden="1" x14ac:dyDescent="0.25">
      <c r="A37" s="28" t="s">
        <v>49</v>
      </c>
      <c r="B37" s="29">
        <v>46118</v>
      </c>
      <c r="C37" s="32" t="s">
        <v>457</v>
      </c>
      <c r="D37" s="34" t="s">
        <v>357</v>
      </c>
      <c r="E37" s="34" t="s">
        <v>251</v>
      </c>
      <c r="F37" s="34" t="s">
        <v>604</v>
      </c>
      <c r="G37" s="28" t="str">
        <f t="shared" si="25"/>
        <v>OK</v>
      </c>
      <c r="H37" s="31">
        <f t="shared" si="26"/>
        <v>0.34930555555555565</v>
      </c>
      <c r="I37" s="27" t="str">
        <f t="shared" si="27"/>
        <v>NO OT</v>
      </c>
    </row>
    <row r="38" spans="1:9" hidden="1" x14ac:dyDescent="0.25">
      <c r="A38" s="28" t="s">
        <v>49</v>
      </c>
      <c r="B38" s="29">
        <v>46119</v>
      </c>
      <c r="C38" s="32" t="s">
        <v>458</v>
      </c>
      <c r="D38" s="34" t="s">
        <v>206</v>
      </c>
      <c r="E38" s="34" t="s">
        <v>376</v>
      </c>
      <c r="F38" s="34" t="s">
        <v>345</v>
      </c>
      <c r="G38" s="28" t="str">
        <f t="shared" ref="G38:G39" si="28">IF(C38="Sunday", "SUNDAY", IF(OR(D38=0, D38="", D38="0:0"), "ABSENT", IF(MOD(D38,1) &gt; TIME(9,45,0), "LATE", "OK")))</f>
        <v>OK</v>
      </c>
      <c r="H38" s="31">
        <f t="shared" si="1"/>
        <v>0.33888888888888891</v>
      </c>
      <c r="I38" s="27" t="str">
        <f t="shared" ref="I38:I39" si="29">IF(VALUE(E38) &gt; TIME(19,0,0), TEXT(VALUE(E38) - TIME(19,0,0), "hh:mm"), "NO OT")</f>
        <v>NO OT</v>
      </c>
    </row>
    <row r="39" spans="1:9" hidden="1" x14ac:dyDescent="0.25">
      <c r="A39" s="28" t="s">
        <v>49</v>
      </c>
      <c r="B39" s="29">
        <v>46120</v>
      </c>
      <c r="C39" s="32" t="s">
        <v>459</v>
      </c>
      <c r="D39" s="34" t="s">
        <v>282</v>
      </c>
      <c r="E39" s="34" t="s">
        <v>267</v>
      </c>
      <c r="F39" s="34" t="s">
        <v>350</v>
      </c>
      <c r="G39" s="28" t="str">
        <f t="shared" si="28"/>
        <v>OK</v>
      </c>
      <c r="H39" s="31">
        <f t="shared" si="1"/>
        <v>0.3340277777777777</v>
      </c>
      <c r="I39" s="27" t="str">
        <f t="shared" si="29"/>
        <v>NO OT</v>
      </c>
    </row>
    <row r="40" spans="1:9" hidden="1" x14ac:dyDescent="0.25">
      <c r="A40" s="28" t="s">
        <v>49</v>
      </c>
      <c r="B40" s="29">
        <v>46121</v>
      </c>
      <c r="C40" s="32" t="s">
        <v>460</v>
      </c>
      <c r="D40" s="34" t="s">
        <v>474</v>
      </c>
      <c r="E40" s="34" t="s">
        <v>510</v>
      </c>
      <c r="F40" s="34" t="s">
        <v>191</v>
      </c>
      <c r="G40" s="28" t="str">
        <f t="shared" ref="G40:G42" si="30">IF(C40="Sunday", "SUNDAY", IF(OR(D40=0, D40="", D40="0:0"), "ABSENT", IF(MOD(D40,1) &gt; TIME(9,45,0), "LATE", "OK")))</f>
        <v>OK</v>
      </c>
      <c r="H40" s="31">
        <f t="shared" ref="H40:H42" si="31">IF(OR(D40=0, D40="", E40=0, E40=""), 0, (E40-D40)-TIME(1,0,0))</f>
        <v>0.32916666666666661</v>
      </c>
      <c r="I40" s="27" t="str">
        <f t="shared" ref="I40:I42" si="32">IF(VALUE(E40) &gt; TIME(19,0,0), TEXT(VALUE(E40) - TIME(19,0,0), "hh:mm"), "NO OT")</f>
        <v>NO OT</v>
      </c>
    </row>
    <row r="41" spans="1:9" hidden="1" x14ac:dyDescent="0.25">
      <c r="A41" s="28" t="s">
        <v>49</v>
      </c>
      <c r="B41" s="29">
        <v>46122</v>
      </c>
      <c r="C41" s="32" t="s">
        <v>461</v>
      </c>
      <c r="D41" s="34" t="s">
        <v>371</v>
      </c>
      <c r="E41" s="34" t="s">
        <v>261</v>
      </c>
      <c r="F41" s="34" t="s">
        <v>306</v>
      </c>
      <c r="G41" s="33" t="str">
        <f t="shared" si="30"/>
        <v>OK</v>
      </c>
      <c r="H41" s="31">
        <f t="shared" si="31"/>
        <v>0.32499999999999996</v>
      </c>
      <c r="I41" s="27" t="str">
        <f t="shared" si="32"/>
        <v>NO OT</v>
      </c>
    </row>
    <row r="42" spans="1:9" hidden="1" x14ac:dyDescent="0.25">
      <c r="A42" s="28" t="s">
        <v>49</v>
      </c>
      <c r="B42" s="29">
        <v>46123</v>
      </c>
      <c r="C42" s="32" t="s">
        <v>463</v>
      </c>
      <c r="D42" s="34" t="s">
        <v>415</v>
      </c>
      <c r="E42" s="34" t="s">
        <v>605</v>
      </c>
      <c r="F42" s="34" t="s">
        <v>367</v>
      </c>
      <c r="G42" s="28" t="str">
        <f t="shared" si="30"/>
        <v>OK</v>
      </c>
      <c r="H42" s="31">
        <f t="shared" si="31"/>
        <v>0.32569444444444451</v>
      </c>
      <c r="I42" s="27" t="str">
        <f t="shared" si="32"/>
        <v>NO OT</v>
      </c>
    </row>
    <row r="43" spans="1:9" hidden="1" x14ac:dyDescent="0.25">
      <c r="A43" s="28" t="s">
        <v>49</v>
      </c>
      <c r="B43" s="29">
        <v>46124</v>
      </c>
      <c r="C43" s="33" t="s">
        <v>456</v>
      </c>
      <c r="D43" s="34"/>
      <c r="E43" s="34"/>
      <c r="F43" s="34"/>
      <c r="G43" s="33" t="str">
        <f t="shared" ref="G43:G46" si="33">IF(C43="Sunday", "SUNDAY", IF(OR(D43=0, D43="", D43="0:0"), "ABSENT", IF(MOD(D43,1) &gt; TIME(9,45,0), "LATE", "OK")))</f>
        <v>SUNDAY</v>
      </c>
      <c r="H43" s="31">
        <f t="shared" si="1"/>
        <v>0</v>
      </c>
      <c r="I43" s="27" t="str">
        <f t="shared" ref="I43:I45" si="34">IF(VALUE(E43) &gt; TIME(19,0,0), TEXT(VALUE(E43) - TIME(19,0,0), "hh:mm"), "NO OT")</f>
        <v>NO OT</v>
      </c>
    </row>
    <row r="44" spans="1:9" hidden="1" x14ac:dyDescent="0.25">
      <c r="A44" s="28" t="s">
        <v>49</v>
      </c>
      <c r="B44" s="29">
        <v>46125</v>
      </c>
      <c r="C44" s="32" t="s">
        <v>457</v>
      </c>
      <c r="D44" s="34" t="s">
        <v>300</v>
      </c>
      <c r="E44" s="34" t="s">
        <v>346</v>
      </c>
      <c r="F44" s="34" t="s">
        <v>423</v>
      </c>
      <c r="G44" s="28" t="str">
        <f t="shared" si="33"/>
        <v>OK</v>
      </c>
      <c r="H44" s="31">
        <f t="shared" si="1"/>
        <v>0.34791666666666665</v>
      </c>
      <c r="I44" s="27" t="str">
        <f t="shared" si="34"/>
        <v>NO OT</v>
      </c>
    </row>
    <row r="45" spans="1:9" hidden="1" x14ac:dyDescent="0.25">
      <c r="A45" s="28" t="s">
        <v>49</v>
      </c>
      <c r="B45" s="29">
        <v>46126</v>
      </c>
      <c r="C45" s="32" t="s">
        <v>458</v>
      </c>
      <c r="D45" s="34" t="s">
        <v>300</v>
      </c>
      <c r="E45" s="34" t="s">
        <v>217</v>
      </c>
      <c r="F45" s="34" t="s">
        <v>520</v>
      </c>
      <c r="G45" s="28" t="str">
        <f t="shared" si="33"/>
        <v>OK</v>
      </c>
      <c r="H45" s="31">
        <f t="shared" si="1"/>
        <v>0.34513888888888888</v>
      </c>
      <c r="I45" s="27" t="str">
        <f t="shared" si="34"/>
        <v>NO OT</v>
      </c>
    </row>
    <row r="46" spans="1:9" hidden="1" x14ac:dyDescent="0.25">
      <c r="A46" s="28" t="s">
        <v>49</v>
      </c>
      <c r="B46" s="29">
        <v>46127</v>
      </c>
      <c r="C46" s="32" t="s">
        <v>459</v>
      </c>
      <c r="D46" s="34" t="s">
        <v>258</v>
      </c>
      <c r="E46" s="34" t="s">
        <v>606</v>
      </c>
      <c r="F46" s="34" t="s">
        <v>607</v>
      </c>
      <c r="G46" s="28" t="str">
        <f t="shared" si="33"/>
        <v>OK</v>
      </c>
      <c r="H46" s="31">
        <f t="shared" si="1"/>
        <v>0.19791666666666666</v>
      </c>
      <c r="I46" s="27" t="s">
        <v>655</v>
      </c>
    </row>
    <row r="47" spans="1:9" hidden="1" x14ac:dyDescent="0.25">
      <c r="A47" s="28" t="s">
        <v>49</v>
      </c>
      <c r="B47" s="29">
        <v>46128</v>
      </c>
      <c r="C47" s="32" t="s">
        <v>460</v>
      </c>
      <c r="D47" s="34"/>
      <c r="E47" s="34"/>
      <c r="F47" s="34"/>
      <c r="G47" s="33" t="str">
        <f t="shared" ref="G47" si="35">IF(C47="Sunday", "SUNDAY", IF(OR(D47=0, D47="", D47="0:0"), "ABSENT", IF(MOD(D47,1) &gt; TIME(9,45,0), "LATE", "OK")))</f>
        <v>ABSENT</v>
      </c>
      <c r="H47" s="31">
        <f t="shared" ref="H47" si="36">IF(OR(D47=0, D47="", E47=0, E47=""), 0, (E47-D47)-TIME(1,0,0))</f>
        <v>0</v>
      </c>
      <c r="I47" s="27" t="str">
        <f t="shared" ref="I47" si="37">IF(VALUE(E47) &gt; TIME(19,0,0), TEXT(VALUE(E47) - TIME(19,0,0), "hh:mm"), "NO OT")</f>
        <v>NO OT</v>
      </c>
    </row>
    <row r="48" spans="1:9" hidden="1" x14ac:dyDescent="0.25">
      <c r="A48" s="28" t="s">
        <v>49</v>
      </c>
      <c r="B48" s="29">
        <v>46129</v>
      </c>
      <c r="C48" s="32" t="s">
        <v>461</v>
      </c>
      <c r="D48" s="34"/>
      <c r="E48" s="34"/>
      <c r="F48" s="34"/>
      <c r="G48" s="33" t="str">
        <f t="shared" ref="G48:G52" si="38">IF(C48="Sunday", "SUNDAY", IF(OR(D48=0, D48="", D48="0:0"), "ABSENT", IF(MOD(D48,1) &gt; TIME(9,45,0), "LATE", "OK")))</f>
        <v>ABSENT</v>
      </c>
      <c r="H48" s="31">
        <f t="shared" si="1"/>
        <v>0</v>
      </c>
      <c r="I48" s="27" t="str">
        <f t="shared" ref="I48:I52" si="39">IF(VALUE(E48) &gt; TIME(19,0,0), TEXT(VALUE(E48) - TIME(19,0,0), "hh:mm"), "NO OT")</f>
        <v>NO OT</v>
      </c>
    </row>
    <row r="49" spans="1:9" hidden="1" x14ac:dyDescent="0.25">
      <c r="A49" s="28" t="s">
        <v>49</v>
      </c>
      <c r="B49" s="29">
        <v>46130</v>
      </c>
      <c r="C49" s="32" t="s">
        <v>463</v>
      </c>
      <c r="D49" s="34"/>
      <c r="E49" s="34"/>
      <c r="F49" s="34"/>
      <c r="G49" s="33" t="str">
        <f t="shared" si="38"/>
        <v>ABSENT</v>
      </c>
      <c r="H49" s="31">
        <f t="shared" si="1"/>
        <v>0</v>
      </c>
      <c r="I49" s="27" t="str">
        <f t="shared" si="39"/>
        <v>NO OT</v>
      </c>
    </row>
    <row r="50" spans="1:9" hidden="1" x14ac:dyDescent="0.25">
      <c r="A50" s="28" t="s">
        <v>49</v>
      </c>
      <c r="B50" s="29">
        <v>46131</v>
      </c>
      <c r="C50" s="33" t="s">
        <v>456</v>
      </c>
      <c r="D50" s="34"/>
      <c r="E50" s="34"/>
      <c r="F50" s="34"/>
      <c r="G50" s="33" t="str">
        <f t="shared" si="38"/>
        <v>SUNDAY</v>
      </c>
      <c r="H50" s="31">
        <f t="shared" si="1"/>
        <v>0</v>
      </c>
      <c r="I50" s="27" t="str">
        <f t="shared" si="39"/>
        <v>NO OT</v>
      </c>
    </row>
    <row r="51" spans="1:9" hidden="1" x14ac:dyDescent="0.25">
      <c r="A51" s="28" t="s">
        <v>49</v>
      </c>
      <c r="B51" s="29">
        <v>46132</v>
      </c>
      <c r="C51" s="32" t="s">
        <v>457</v>
      </c>
      <c r="D51" s="34" t="s">
        <v>288</v>
      </c>
      <c r="E51" s="34" t="s">
        <v>489</v>
      </c>
      <c r="F51" s="34" t="s">
        <v>608</v>
      </c>
      <c r="G51" s="28" t="str">
        <f t="shared" si="38"/>
        <v>OK</v>
      </c>
      <c r="H51" s="31">
        <f t="shared" si="1"/>
        <v>0.36388888888888882</v>
      </c>
      <c r="I51" s="27" t="str">
        <f t="shared" si="39"/>
        <v>00:04</v>
      </c>
    </row>
    <row r="52" spans="1:9" hidden="1" x14ac:dyDescent="0.25">
      <c r="A52" s="28" t="s">
        <v>49</v>
      </c>
      <c r="B52" s="29">
        <v>46133</v>
      </c>
      <c r="C52" s="32" t="s">
        <v>458</v>
      </c>
      <c r="D52" s="34" t="s">
        <v>474</v>
      </c>
      <c r="E52" s="34" t="s">
        <v>489</v>
      </c>
      <c r="F52" s="34" t="s">
        <v>609</v>
      </c>
      <c r="G52" s="28" t="str">
        <f t="shared" si="38"/>
        <v>OK</v>
      </c>
      <c r="H52" s="31">
        <f t="shared" si="1"/>
        <v>0.36597222222222214</v>
      </c>
      <c r="I52" s="27" t="str">
        <f t="shared" si="39"/>
        <v>00:04</v>
      </c>
    </row>
    <row r="53" spans="1:9" hidden="1" x14ac:dyDescent="0.25">
      <c r="A53" s="28" t="s">
        <v>49</v>
      </c>
      <c r="B53" s="29">
        <v>46134</v>
      </c>
      <c r="C53" s="32" t="s">
        <v>459</v>
      </c>
      <c r="D53" s="34" t="s">
        <v>494</v>
      </c>
      <c r="E53" s="34" t="s">
        <v>197</v>
      </c>
      <c r="F53" s="34" t="s">
        <v>365</v>
      </c>
      <c r="G53" s="28" t="str">
        <f t="shared" ref="G53:G55" si="40">IF(C53="Sunday", "SUNDAY", IF(OR(D53=0, D53="", D53="0:0"), "ABSENT", IF(MOD(D53,1) &gt; TIME(9,45,0), "LATE", "OK")))</f>
        <v>OK</v>
      </c>
      <c r="H53" s="31">
        <f t="shared" ref="H53:H55" si="41">IF(OR(D53=0, D53="", E53=0, E53=""), 0, (E53-D53)-TIME(1,0,0))</f>
        <v>0.33541666666666659</v>
      </c>
      <c r="I53" s="27" t="str">
        <f t="shared" ref="I53:I55" si="42">IF(VALUE(E53) &gt; TIME(19,0,0), TEXT(VALUE(E53) - TIME(19,0,0), "hh:mm"), "NO OT")</f>
        <v>NO OT</v>
      </c>
    </row>
    <row r="54" spans="1:9" hidden="1" x14ac:dyDescent="0.25">
      <c r="A54" s="28" t="s">
        <v>49</v>
      </c>
      <c r="B54" s="29">
        <v>46135</v>
      </c>
      <c r="C54" s="32" t="s">
        <v>460</v>
      </c>
      <c r="D54" s="34" t="s">
        <v>279</v>
      </c>
      <c r="E54" s="34" t="s">
        <v>203</v>
      </c>
      <c r="F54" s="34" t="s">
        <v>556</v>
      </c>
      <c r="G54" s="28" t="str">
        <f t="shared" si="40"/>
        <v>OK</v>
      </c>
      <c r="H54" s="31">
        <f t="shared" si="41"/>
        <v>0.34861111111111109</v>
      </c>
      <c r="I54" s="27" t="str">
        <f t="shared" si="42"/>
        <v>NO OT</v>
      </c>
    </row>
    <row r="55" spans="1:9" hidden="1" x14ac:dyDescent="0.25">
      <c r="A55" s="28" t="s">
        <v>49</v>
      </c>
      <c r="B55" s="29">
        <v>46136</v>
      </c>
      <c r="C55" s="32" t="s">
        <v>461</v>
      </c>
      <c r="D55" s="34" t="s">
        <v>415</v>
      </c>
      <c r="E55" s="34" t="s">
        <v>610</v>
      </c>
      <c r="F55" s="34" t="s">
        <v>611</v>
      </c>
      <c r="G55" s="33" t="str">
        <f t="shared" si="40"/>
        <v>OK</v>
      </c>
      <c r="H55" s="31">
        <f t="shared" si="41"/>
        <v>0.23750000000000007</v>
      </c>
      <c r="I55" s="27" t="str">
        <f t="shared" si="42"/>
        <v>NO OT</v>
      </c>
    </row>
    <row r="56" spans="1:9" hidden="1" x14ac:dyDescent="0.25">
      <c r="A56" s="28" t="s">
        <v>49</v>
      </c>
      <c r="B56" s="29">
        <v>46137</v>
      </c>
      <c r="C56" s="32" t="s">
        <v>463</v>
      </c>
      <c r="D56" s="34"/>
      <c r="E56" s="34"/>
      <c r="F56" s="34"/>
      <c r="G56" s="33" t="str">
        <f t="shared" ref="G56:G60" si="43">IF(C56="Sunday", "SUNDAY", IF(OR(D56=0, D56="", D56="0:0"), "ABSENT", IF(MOD(D56,1) &gt; TIME(9,45,0), "LATE", "OK")))</f>
        <v>ABSENT</v>
      </c>
      <c r="H56" s="31">
        <f t="shared" si="1"/>
        <v>0</v>
      </c>
      <c r="I56" s="27" t="str">
        <f t="shared" ref="I56:I60" si="44">IF(VALUE(E56) &gt; TIME(19,0,0), TEXT(VALUE(E56) - TIME(19,0,0), "hh:mm"), "NO OT")</f>
        <v>NO OT</v>
      </c>
    </row>
    <row r="57" spans="1:9" hidden="1" x14ac:dyDescent="0.25">
      <c r="A57" s="28" t="s">
        <v>49</v>
      </c>
      <c r="B57" s="29">
        <v>46138</v>
      </c>
      <c r="C57" s="33" t="s">
        <v>456</v>
      </c>
      <c r="D57" s="34"/>
      <c r="E57" s="34"/>
      <c r="F57" s="34"/>
      <c r="G57" s="33" t="str">
        <f t="shared" si="43"/>
        <v>SUNDAY</v>
      </c>
      <c r="H57" s="31">
        <f t="shared" si="1"/>
        <v>0</v>
      </c>
      <c r="I57" s="27" t="str">
        <f t="shared" si="44"/>
        <v>NO OT</v>
      </c>
    </row>
    <row r="58" spans="1:9" hidden="1" x14ac:dyDescent="0.25">
      <c r="A58" s="28" t="s">
        <v>49</v>
      </c>
      <c r="B58" s="29">
        <v>46139</v>
      </c>
      <c r="C58" s="32" t="s">
        <v>457</v>
      </c>
      <c r="D58" s="34" t="s">
        <v>494</v>
      </c>
      <c r="E58" s="34" t="s">
        <v>254</v>
      </c>
      <c r="F58" s="34" t="s">
        <v>204</v>
      </c>
      <c r="G58" s="28" t="str">
        <f t="shared" si="43"/>
        <v>OK</v>
      </c>
      <c r="H58" s="31">
        <f t="shared" si="1"/>
        <v>0.34097222222222223</v>
      </c>
      <c r="I58" s="27" t="str">
        <f t="shared" si="44"/>
        <v>NO OT</v>
      </c>
    </row>
    <row r="59" spans="1:9" hidden="1" x14ac:dyDescent="0.25">
      <c r="A59" s="28" t="s">
        <v>49</v>
      </c>
      <c r="B59" s="29">
        <v>46140</v>
      </c>
      <c r="C59" s="32" t="s">
        <v>458</v>
      </c>
      <c r="D59" s="34" t="s">
        <v>260</v>
      </c>
      <c r="E59" s="34" t="s">
        <v>223</v>
      </c>
      <c r="F59" s="34" t="s">
        <v>612</v>
      </c>
      <c r="G59" s="28" t="str">
        <f t="shared" si="43"/>
        <v>OK</v>
      </c>
      <c r="H59" s="31">
        <f t="shared" si="1"/>
        <v>0.33819444444444435</v>
      </c>
      <c r="I59" s="27" t="str">
        <f t="shared" si="44"/>
        <v>NO OT</v>
      </c>
    </row>
    <row r="60" spans="1:9" hidden="1" x14ac:dyDescent="0.25">
      <c r="A60" s="28" t="s">
        <v>49</v>
      </c>
      <c r="B60" s="29">
        <v>46141</v>
      </c>
      <c r="C60" s="32" t="s">
        <v>459</v>
      </c>
      <c r="D60" s="34" t="s">
        <v>202</v>
      </c>
      <c r="E60" s="34" t="s">
        <v>203</v>
      </c>
      <c r="F60" s="34" t="s">
        <v>204</v>
      </c>
      <c r="G60" s="28" t="str">
        <f t="shared" si="43"/>
        <v>OK</v>
      </c>
      <c r="H60" s="31">
        <f t="shared" si="1"/>
        <v>0.34097222222222223</v>
      </c>
      <c r="I60" s="27" t="str">
        <f t="shared" si="44"/>
        <v>NO OT</v>
      </c>
    </row>
    <row r="61" spans="1:9" hidden="1" x14ac:dyDescent="0.25">
      <c r="A61" s="28" t="s">
        <v>49</v>
      </c>
      <c r="B61" s="29">
        <v>46142</v>
      </c>
      <c r="C61" s="32" t="s">
        <v>460</v>
      </c>
      <c r="D61" s="34" t="s">
        <v>282</v>
      </c>
      <c r="E61" s="34" t="s">
        <v>296</v>
      </c>
      <c r="F61" s="34" t="s">
        <v>613</v>
      </c>
      <c r="G61" s="28" t="str">
        <f t="shared" ref="G61:G64" si="45">IF(C61="Sunday", "SUNDAY", IF(OR(D61=0, D61="", D61="0:0"), "ABSENT", IF(MOD(D61,1) &gt; TIME(9,45,0), "LATE", "OK")))</f>
        <v>OK</v>
      </c>
      <c r="H61" s="31">
        <f t="shared" ref="H61:H64" si="46">IF(OR(D61=0, D61="", E61=0, E61=""), 0, (E61-D61)-TIME(1,0,0))</f>
        <v>0.3520833333333333</v>
      </c>
      <c r="I61" s="27" t="str">
        <f t="shared" ref="I61:I64" si="47">IF(VALUE(E61) &gt; TIME(19,0,0), TEXT(VALUE(E61) - TIME(19,0,0), "hh:mm"), "NO OT")</f>
        <v>NO OT</v>
      </c>
    </row>
    <row r="62" spans="1:9" hidden="1" x14ac:dyDescent="0.25">
      <c r="A62" s="28" t="s">
        <v>495</v>
      </c>
      <c r="B62" s="29">
        <v>46113</v>
      </c>
      <c r="C62" s="32" t="s">
        <v>459</v>
      </c>
      <c r="D62" s="34" t="s">
        <v>300</v>
      </c>
      <c r="E62" s="34" t="s">
        <v>190</v>
      </c>
      <c r="F62" s="34" t="s">
        <v>204</v>
      </c>
      <c r="G62" s="33" t="str">
        <f t="shared" si="45"/>
        <v>OK</v>
      </c>
      <c r="H62" s="31">
        <f t="shared" si="46"/>
        <v>0.34097222222222223</v>
      </c>
      <c r="I62" s="27" t="str">
        <f t="shared" si="47"/>
        <v>NO OT</v>
      </c>
    </row>
    <row r="63" spans="1:9" hidden="1" x14ac:dyDescent="0.25">
      <c r="A63" s="28" t="s">
        <v>495</v>
      </c>
      <c r="B63" s="29">
        <v>46114</v>
      </c>
      <c r="C63" s="32" t="s">
        <v>460</v>
      </c>
      <c r="D63" s="34" t="s">
        <v>276</v>
      </c>
      <c r="E63" s="34" t="s">
        <v>614</v>
      </c>
      <c r="F63" s="34" t="s">
        <v>400</v>
      </c>
      <c r="G63" s="28" t="str">
        <f t="shared" si="45"/>
        <v>OK</v>
      </c>
      <c r="H63" s="31">
        <f t="shared" si="46"/>
        <v>0.26736111111111116</v>
      </c>
      <c r="I63" s="27" t="s">
        <v>655</v>
      </c>
    </row>
    <row r="64" spans="1:9" hidden="1" x14ac:dyDescent="0.25">
      <c r="A64" s="28" t="s">
        <v>495</v>
      </c>
      <c r="B64" s="29">
        <v>46115</v>
      </c>
      <c r="C64" s="32" t="s">
        <v>461</v>
      </c>
      <c r="D64" s="34" t="s">
        <v>229</v>
      </c>
      <c r="E64" s="34" t="s">
        <v>203</v>
      </c>
      <c r="F64" s="34" t="s">
        <v>372</v>
      </c>
      <c r="G64" s="28" t="str">
        <f t="shared" si="45"/>
        <v>LATE</v>
      </c>
      <c r="H64" s="31">
        <f t="shared" si="46"/>
        <v>0.32708333333333328</v>
      </c>
      <c r="I64" s="27" t="str">
        <f t="shared" si="47"/>
        <v>NO OT</v>
      </c>
    </row>
    <row r="65" spans="1:9" s="38" customFormat="1" hidden="1" x14ac:dyDescent="0.25">
      <c r="A65" s="35" t="s">
        <v>495</v>
      </c>
      <c r="B65" s="36">
        <v>46116</v>
      </c>
      <c r="C65" s="32" t="s">
        <v>463</v>
      </c>
      <c r="D65" s="34" t="s">
        <v>140</v>
      </c>
      <c r="E65" s="34" t="s">
        <v>259</v>
      </c>
      <c r="F65" s="34" t="s">
        <v>275</v>
      </c>
      <c r="G65" s="35" t="str">
        <f t="shared" ref="G65:G70" si="48">IF(C65="Sunday", "SUNDAY", IF(OR(D65=0, D65="", D65="0:0"), "ABSENT", IF(MOD(D65,1) &gt; TIME(9,45,0), "LATE", "OK")))</f>
        <v>LATE</v>
      </c>
      <c r="H65" s="37">
        <f t="shared" si="1"/>
        <v>0.30972222222222223</v>
      </c>
      <c r="I65" s="38" t="str">
        <f t="shared" ref="I65:I70" si="49">IF(VALUE(E65) &gt; TIME(19,0,0), TEXT(VALUE(E65) - TIME(19,0,0), "hh:mm"), "NO OT")</f>
        <v>NO OT</v>
      </c>
    </row>
    <row r="66" spans="1:9" hidden="1" x14ac:dyDescent="0.25">
      <c r="A66" s="28" t="s">
        <v>495</v>
      </c>
      <c r="B66" s="29">
        <v>46117</v>
      </c>
      <c r="C66" s="33" t="s">
        <v>456</v>
      </c>
      <c r="D66" s="34"/>
      <c r="E66" s="34"/>
      <c r="F66" s="34"/>
      <c r="G66" s="33" t="str">
        <f t="shared" si="48"/>
        <v>SUNDAY</v>
      </c>
      <c r="H66" s="31">
        <f t="shared" si="1"/>
        <v>0</v>
      </c>
      <c r="I66" s="27" t="str">
        <f t="shared" si="49"/>
        <v>NO OT</v>
      </c>
    </row>
    <row r="67" spans="1:9" hidden="1" x14ac:dyDescent="0.25">
      <c r="A67" s="28" t="s">
        <v>495</v>
      </c>
      <c r="B67" s="29">
        <v>46118</v>
      </c>
      <c r="C67" s="32" t="s">
        <v>457</v>
      </c>
      <c r="D67" s="34" t="s">
        <v>288</v>
      </c>
      <c r="E67" s="34" t="s">
        <v>389</v>
      </c>
      <c r="F67" s="34" t="s">
        <v>263</v>
      </c>
      <c r="G67" s="28" t="str">
        <f t="shared" ref="G67" si="50">IF(C67="Sunday", "SUNDAY", IF(OR(D67=0, D67="", D67="0:0"), "ABSENT", IF(MOD(D67,1) &gt; TIME(9,45,0), "LATE", "OK")))</f>
        <v>OK</v>
      </c>
      <c r="H67" s="31">
        <f t="shared" ref="H67" si="51">IF(OR(D67=0, D67="", E67=0, E67=""), 0, (E67-D67)-TIME(1,0,0))</f>
        <v>0.34652777777777766</v>
      </c>
      <c r="I67" s="27" t="str">
        <f t="shared" ref="I67" si="52">IF(VALUE(E67) &gt; TIME(19,0,0), TEXT(VALUE(E67) - TIME(19,0,0), "hh:mm"), "NO OT")</f>
        <v>NO OT</v>
      </c>
    </row>
    <row r="68" spans="1:9" hidden="1" x14ac:dyDescent="0.25">
      <c r="A68" s="28" t="s">
        <v>495</v>
      </c>
      <c r="B68" s="29">
        <v>46119</v>
      </c>
      <c r="C68" s="32" t="s">
        <v>458</v>
      </c>
      <c r="D68" s="34" t="s">
        <v>474</v>
      </c>
      <c r="E68" s="34" t="s">
        <v>615</v>
      </c>
      <c r="F68" s="34" t="s">
        <v>382</v>
      </c>
      <c r="G68" s="28" t="str">
        <f t="shared" si="48"/>
        <v>OK</v>
      </c>
      <c r="H68" s="31">
        <f t="shared" ref="H68:H107" si="53">IF(OR(D68=0, D68="", E68=0, E68=""), 0, (E68-D68)-TIME(1,0,0))</f>
        <v>0.29374999999999996</v>
      </c>
      <c r="I68" s="27" t="str">
        <f t="shared" si="49"/>
        <v>NO OT</v>
      </c>
    </row>
    <row r="69" spans="1:9" hidden="1" x14ac:dyDescent="0.25">
      <c r="A69" s="28" t="s">
        <v>495</v>
      </c>
      <c r="B69" s="29">
        <v>46120</v>
      </c>
      <c r="C69" s="32" t="s">
        <v>459</v>
      </c>
      <c r="D69" s="34" t="s">
        <v>186</v>
      </c>
      <c r="E69" s="34" t="s">
        <v>217</v>
      </c>
      <c r="F69" s="34" t="s">
        <v>616</v>
      </c>
      <c r="G69" s="33" t="str">
        <f t="shared" si="48"/>
        <v>LATE</v>
      </c>
      <c r="H69" s="31">
        <f t="shared" si="53"/>
        <v>0.30763888888888891</v>
      </c>
      <c r="I69" s="27" t="str">
        <f t="shared" si="49"/>
        <v>NO OT</v>
      </c>
    </row>
    <row r="70" spans="1:9" hidden="1" x14ac:dyDescent="0.25">
      <c r="A70" s="28" t="s">
        <v>495</v>
      </c>
      <c r="B70" s="29">
        <v>46121</v>
      </c>
      <c r="C70" s="32" t="s">
        <v>460</v>
      </c>
      <c r="D70" s="34" t="s">
        <v>357</v>
      </c>
      <c r="E70" s="34" t="s">
        <v>212</v>
      </c>
      <c r="F70" s="34" t="s">
        <v>612</v>
      </c>
      <c r="G70" s="28" t="str">
        <f t="shared" si="48"/>
        <v>OK</v>
      </c>
      <c r="H70" s="31">
        <f t="shared" si="53"/>
        <v>0.33819444444444435</v>
      </c>
      <c r="I70" s="27" t="str">
        <f t="shared" si="49"/>
        <v>NO OT</v>
      </c>
    </row>
    <row r="71" spans="1:9" hidden="1" x14ac:dyDescent="0.25">
      <c r="A71" s="28" t="s">
        <v>495</v>
      </c>
      <c r="B71" s="29">
        <v>46122</v>
      </c>
      <c r="C71" s="32" t="s">
        <v>461</v>
      </c>
      <c r="D71" s="34" t="s">
        <v>415</v>
      </c>
      <c r="E71" s="34" t="s">
        <v>292</v>
      </c>
      <c r="F71" s="34" t="s">
        <v>213</v>
      </c>
      <c r="G71" s="28" t="str">
        <f t="shared" ref="G71:G75" si="54">IF(C71="Sunday", "SUNDAY", IF(OR(D71=0, D71="", D71="0:0"), "ABSENT", IF(MOD(D71,1) &gt; TIME(9,45,0), "LATE", "OK")))</f>
        <v>OK</v>
      </c>
      <c r="H71" s="31">
        <f t="shared" ref="H71:H75" si="55">IF(OR(D71=0, D71="", E71=0, E71=""), 0, (E71-D71)-TIME(1,0,0))</f>
        <v>0.33125000000000004</v>
      </c>
      <c r="I71" s="27" t="str">
        <f t="shared" ref="I71:I75" si="56">IF(VALUE(E71) &gt; TIME(19,0,0), TEXT(VALUE(E71) - TIME(19,0,0), "hh:mm"), "NO OT")</f>
        <v>NO OT</v>
      </c>
    </row>
    <row r="72" spans="1:9" hidden="1" x14ac:dyDescent="0.25">
      <c r="A72" s="28" t="s">
        <v>495</v>
      </c>
      <c r="B72" s="29">
        <v>46123</v>
      </c>
      <c r="C72" s="32" t="s">
        <v>463</v>
      </c>
      <c r="D72" s="34" t="s">
        <v>219</v>
      </c>
      <c r="E72" s="34" t="s">
        <v>270</v>
      </c>
      <c r="F72" s="34" t="s">
        <v>617</v>
      </c>
      <c r="G72" s="28" t="str">
        <f t="shared" si="54"/>
        <v>OK</v>
      </c>
      <c r="H72" s="31">
        <f t="shared" si="55"/>
        <v>0.31944444444444448</v>
      </c>
      <c r="I72" s="27" t="str">
        <f t="shared" si="56"/>
        <v>NO OT</v>
      </c>
    </row>
    <row r="73" spans="1:9" hidden="1" x14ac:dyDescent="0.25">
      <c r="A73" s="28" t="s">
        <v>495</v>
      </c>
      <c r="B73" s="29">
        <v>46124</v>
      </c>
      <c r="C73" s="33" t="s">
        <v>456</v>
      </c>
      <c r="D73" s="34"/>
      <c r="E73" s="34"/>
      <c r="F73" s="34"/>
      <c r="G73" s="33" t="str">
        <f t="shared" si="54"/>
        <v>SUNDAY</v>
      </c>
      <c r="H73" s="31">
        <f t="shared" si="55"/>
        <v>0</v>
      </c>
      <c r="I73" s="27" t="str">
        <f t="shared" si="56"/>
        <v>NO OT</v>
      </c>
    </row>
    <row r="74" spans="1:9" hidden="1" x14ac:dyDescent="0.25">
      <c r="A74" s="28" t="s">
        <v>495</v>
      </c>
      <c r="B74" s="29">
        <v>46125</v>
      </c>
      <c r="C74" s="32" t="s">
        <v>457</v>
      </c>
      <c r="D74" s="34" t="s">
        <v>315</v>
      </c>
      <c r="E74" s="34" t="s">
        <v>346</v>
      </c>
      <c r="F74" s="34" t="s">
        <v>350</v>
      </c>
      <c r="G74" s="28" t="str">
        <f t="shared" si="54"/>
        <v>OK</v>
      </c>
      <c r="H74" s="31">
        <f t="shared" si="55"/>
        <v>0.33402777777777776</v>
      </c>
      <c r="I74" s="27" t="str">
        <f t="shared" si="56"/>
        <v>NO OT</v>
      </c>
    </row>
    <row r="75" spans="1:9" hidden="1" x14ac:dyDescent="0.25">
      <c r="A75" s="28" t="s">
        <v>495</v>
      </c>
      <c r="B75" s="29">
        <v>46126</v>
      </c>
      <c r="C75" s="32" t="s">
        <v>458</v>
      </c>
      <c r="D75" s="34" t="s">
        <v>360</v>
      </c>
      <c r="E75" s="34" t="s">
        <v>618</v>
      </c>
      <c r="F75" s="34" t="s">
        <v>323</v>
      </c>
      <c r="G75" s="28" t="str">
        <f t="shared" si="54"/>
        <v>OK</v>
      </c>
      <c r="H75" s="31">
        <f t="shared" si="55"/>
        <v>0.30555555555555552</v>
      </c>
      <c r="I75" s="27" t="str">
        <f t="shared" si="56"/>
        <v>NO OT</v>
      </c>
    </row>
    <row r="76" spans="1:9" hidden="1" x14ac:dyDescent="0.25">
      <c r="A76" s="28" t="s">
        <v>495</v>
      </c>
      <c r="B76" s="29">
        <v>46127</v>
      </c>
      <c r="C76" s="32" t="s">
        <v>459</v>
      </c>
      <c r="D76" s="34" t="s">
        <v>474</v>
      </c>
      <c r="E76" s="34" t="s">
        <v>333</v>
      </c>
      <c r="F76" s="34" t="s">
        <v>619</v>
      </c>
      <c r="G76" s="33" t="str">
        <f t="shared" ref="G76:G77" si="57">IF(C76="Sunday", "SUNDAY", IF(OR(D76=0, D76="", D76="0:0"), "ABSENT", IF(MOD(D76,1) &gt; TIME(9,45,0), "LATE", "OK")))</f>
        <v>OK</v>
      </c>
      <c r="H76" s="31">
        <f t="shared" si="53"/>
        <v>0.34236111111111112</v>
      </c>
      <c r="I76" s="27" t="str">
        <f t="shared" ref="I76:I77" si="58">IF(VALUE(E76) &gt; TIME(19,0,0), TEXT(VALUE(E76) - TIME(19,0,0), "hh:mm"), "NO OT")</f>
        <v>NO OT</v>
      </c>
    </row>
    <row r="77" spans="1:9" hidden="1" x14ac:dyDescent="0.25">
      <c r="A77" s="28" t="s">
        <v>495</v>
      </c>
      <c r="B77" s="29">
        <v>46128</v>
      </c>
      <c r="C77" s="32" t="s">
        <v>460</v>
      </c>
      <c r="D77" s="34" t="s">
        <v>256</v>
      </c>
      <c r="E77" s="34" t="s">
        <v>601</v>
      </c>
      <c r="F77" s="34" t="s">
        <v>620</v>
      </c>
      <c r="G77" s="28" t="str">
        <f t="shared" si="57"/>
        <v>OK</v>
      </c>
      <c r="H77" s="31">
        <f t="shared" si="53"/>
        <v>0.34027777777777762</v>
      </c>
      <c r="I77" s="27" t="str">
        <f t="shared" si="58"/>
        <v>NO OT</v>
      </c>
    </row>
    <row r="78" spans="1:9" hidden="1" x14ac:dyDescent="0.25">
      <c r="A78" s="28" t="s">
        <v>495</v>
      </c>
      <c r="B78" s="29">
        <v>46129</v>
      </c>
      <c r="C78" s="32" t="s">
        <v>461</v>
      </c>
      <c r="D78" s="34" t="s">
        <v>205</v>
      </c>
      <c r="E78" s="34" t="s">
        <v>259</v>
      </c>
      <c r="F78" s="34" t="s">
        <v>520</v>
      </c>
      <c r="G78" s="28" t="str">
        <f t="shared" ref="G78:G81" si="59">IF(C78="Sunday", "SUNDAY", IF(OR(D78=0, D78="", D78="0:0"), "ABSENT", IF(MOD(D78,1) &gt; TIME(9,45,0), "LATE", "OK")))</f>
        <v>OK</v>
      </c>
      <c r="H78" s="31">
        <f t="shared" ref="H78:H81" si="60">IF(OR(D78=0, D78="", E78=0, E78=""), 0, (E78-D78)-TIME(1,0,0))</f>
        <v>0.34513888888888888</v>
      </c>
      <c r="I78" s="27" t="str">
        <f t="shared" ref="I78:I81" si="61">IF(VALUE(E78) &gt; TIME(19,0,0), TEXT(VALUE(E78) - TIME(19,0,0), "hh:mm"), "NO OT")</f>
        <v>NO OT</v>
      </c>
    </row>
    <row r="79" spans="1:9" hidden="1" x14ac:dyDescent="0.25">
      <c r="A79" s="28" t="s">
        <v>495</v>
      </c>
      <c r="B79" s="29">
        <v>46130</v>
      </c>
      <c r="C79" s="32" t="s">
        <v>463</v>
      </c>
      <c r="D79" s="34" t="s">
        <v>206</v>
      </c>
      <c r="E79" s="34" t="s">
        <v>333</v>
      </c>
      <c r="F79" s="34" t="s">
        <v>306</v>
      </c>
      <c r="G79" s="28" t="str">
        <f t="shared" si="59"/>
        <v>OK</v>
      </c>
      <c r="H79" s="31">
        <f t="shared" si="60"/>
        <v>0.32500000000000007</v>
      </c>
      <c r="I79" s="27" t="str">
        <f t="shared" si="61"/>
        <v>NO OT</v>
      </c>
    </row>
    <row r="80" spans="1:9" hidden="1" x14ac:dyDescent="0.25">
      <c r="A80" s="28" t="s">
        <v>495</v>
      </c>
      <c r="B80" s="29">
        <v>46131</v>
      </c>
      <c r="C80" s="33" t="s">
        <v>456</v>
      </c>
      <c r="D80" s="34"/>
      <c r="E80" s="34"/>
      <c r="F80" s="34"/>
      <c r="G80" s="33" t="str">
        <f t="shared" si="59"/>
        <v>SUNDAY</v>
      </c>
      <c r="H80" s="31">
        <f t="shared" si="60"/>
        <v>0</v>
      </c>
      <c r="I80" s="27" t="str">
        <f t="shared" si="61"/>
        <v>NO OT</v>
      </c>
    </row>
    <row r="81" spans="1:9" hidden="1" x14ac:dyDescent="0.25">
      <c r="A81" s="28" t="s">
        <v>495</v>
      </c>
      <c r="B81" s="29">
        <v>46132</v>
      </c>
      <c r="C81" s="32" t="s">
        <v>457</v>
      </c>
      <c r="D81" s="34" t="s">
        <v>260</v>
      </c>
      <c r="E81" s="34" t="s">
        <v>397</v>
      </c>
      <c r="F81" s="34" t="s">
        <v>410</v>
      </c>
      <c r="G81" s="28" t="str">
        <f t="shared" si="59"/>
        <v>OK</v>
      </c>
      <c r="H81" s="31">
        <f t="shared" si="60"/>
        <v>0.35</v>
      </c>
      <c r="I81" s="27" t="str">
        <f t="shared" si="61"/>
        <v>NO OT</v>
      </c>
    </row>
    <row r="82" spans="1:9" hidden="1" x14ac:dyDescent="0.25">
      <c r="A82" s="28" t="s">
        <v>495</v>
      </c>
      <c r="B82" s="29">
        <v>46133</v>
      </c>
      <c r="C82" s="32" t="s">
        <v>458</v>
      </c>
      <c r="D82" s="34" t="s">
        <v>371</v>
      </c>
      <c r="E82" s="34" t="s">
        <v>220</v>
      </c>
      <c r="F82" s="34" t="s">
        <v>252</v>
      </c>
      <c r="G82" s="28" t="str">
        <f t="shared" ref="G82:G83" si="62">IF(C82="Sunday", "SUNDAY", IF(OR(D82=0, D82="", D82="0:0"), "ABSENT", IF(MOD(D82,1) &gt; TIME(9,45,0), "LATE", "OK")))</f>
        <v>OK</v>
      </c>
      <c r="H82" s="31">
        <f t="shared" si="53"/>
        <v>0.33680555555555558</v>
      </c>
      <c r="I82" s="27" t="str">
        <f t="shared" ref="I82:I83" si="63">IF(VALUE(E82) &gt; TIME(19,0,0), TEXT(VALUE(E82) - TIME(19,0,0), "hh:mm"), "NO OT")</f>
        <v>NO OT</v>
      </c>
    </row>
    <row r="83" spans="1:9" hidden="1" x14ac:dyDescent="0.25">
      <c r="A83" s="28" t="s">
        <v>495</v>
      </c>
      <c r="B83" s="29">
        <v>46134</v>
      </c>
      <c r="C83" s="32" t="s">
        <v>459</v>
      </c>
      <c r="D83" s="34" t="s">
        <v>134</v>
      </c>
      <c r="E83" s="34" t="s">
        <v>214</v>
      </c>
      <c r="F83" s="34" t="s">
        <v>487</v>
      </c>
      <c r="G83" s="33" t="str">
        <f t="shared" si="62"/>
        <v>LATE</v>
      </c>
      <c r="H83" s="31">
        <f t="shared" si="53"/>
        <v>0.28611111111111098</v>
      </c>
      <c r="I83" s="27" t="str">
        <f t="shared" si="63"/>
        <v>NO OT</v>
      </c>
    </row>
    <row r="84" spans="1:9" hidden="1" x14ac:dyDescent="0.25">
      <c r="A84" s="28" t="s">
        <v>495</v>
      </c>
      <c r="B84" s="29">
        <v>46135</v>
      </c>
      <c r="C84" s="32" t="s">
        <v>460</v>
      </c>
      <c r="D84" s="34" t="s">
        <v>276</v>
      </c>
      <c r="E84" s="34" t="s">
        <v>389</v>
      </c>
      <c r="F84" s="34" t="s">
        <v>314</v>
      </c>
      <c r="G84" s="28" t="str">
        <f t="shared" ref="G84:G85" si="64">IF(C84="Sunday", "SUNDAY", IF(OR(D84=0, D84="", D84="0:0"), "ABSENT", IF(MOD(D84,1) &gt; TIME(9,45,0), "LATE", "OK")))</f>
        <v>OK</v>
      </c>
      <c r="H84" s="31">
        <f t="shared" ref="H84:H85" si="65">IF(OR(D84=0, D84="", E84=0, E84=""), 0, (E84-D84)-TIME(1,0,0))</f>
        <v>0.34444444444444433</v>
      </c>
      <c r="I84" s="27" t="str">
        <f t="shared" ref="I84:I85" si="66">IF(VALUE(E84) &gt; TIME(19,0,0), TEXT(VALUE(E84) - TIME(19,0,0), "hh:mm"), "NO OT")</f>
        <v>NO OT</v>
      </c>
    </row>
    <row r="85" spans="1:9" hidden="1" x14ac:dyDescent="0.25">
      <c r="A85" s="28" t="s">
        <v>495</v>
      </c>
      <c r="B85" s="29">
        <v>46136</v>
      </c>
      <c r="C85" s="32" t="s">
        <v>461</v>
      </c>
      <c r="D85" s="34" t="s">
        <v>211</v>
      </c>
      <c r="E85" s="34" t="s">
        <v>251</v>
      </c>
      <c r="F85" s="34" t="s">
        <v>619</v>
      </c>
      <c r="G85" s="28" t="str">
        <f t="shared" si="64"/>
        <v>OK</v>
      </c>
      <c r="H85" s="31">
        <f t="shared" si="65"/>
        <v>0.34236111111111123</v>
      </c>
      <c r="I85" s="27" t="str">
        <f t="shared" si="66"/>
        <v>NO OT</v>
      </c>
    </row>
    <row r="86" spans="1:9" hidden="1" x14ac:dyDescent="0.25">
      <c r="A86" s="28" t="s">
        <v>495</v>
      </c>
      <c r="B86" s="29">
        <v>46137</v>
      </c>
      <c r="C86" s="32" t="s">
        <v>463</v>
      </c>
      <c r="D86" s="34" t="s">
        <v>285</v>
      </c>
      <c r="E86" s="34" t="s">
        <v>197</v>
      </c>
      <c r="F86" s="34" t="s">
        <v>271</v>
      </c>
      <c r="G86" s="28" t="str">
        <f t="shared" ref="G86:G91" si="67">IF(C86="Sunday", "SUNDAY", IF(OR(D86=0, D86="", D86="0:0"), "ABSENT", IF(MOD(D86,1) &gt; TIME(9,45,0), "LATE", "OK")))</f>
        <v>LATE</v>
      </c>
      <c r="H86" s="31">
        <f t="shared" si="53"/>
        <v>0.32083333333333319</v>
      </c>
      <c r="I86" s="27" t="str">
        <f t="shared" ref="I86:I91" si="68">IF(VALUE(E86) &gt; TIME(19,0,0), TEXT(VALUE(E86) - TIME(19,0,0), "hh:mm"), "NO OT")</f>
        <v>NO OT</v>
      </c>
    </row>
    <row r="87" spans="1:9" hidden="1" x14ac:dyDescent="0.25">
      <c r="A87" s="28" t="s">
        <v>495</v>
      </c>
      <c r="B87" s="29">
        <v>46138</v>
      </c>
      <c r="C87" s="33" t="s">
        <v>456</v>
      </c>
      <c r="D87" s="34"/>
      <c r="E87" s="34"/>
      <c r="F87" s="34"/>
      <c r="G87" s="33" t="str">
        <f t="shared" si="67"/>
        <v>SUNDAY</v>
      </c>
      <c r="H87" s="31">
        <f t="shared" si="53"/>
        <v>0</v>
      </c>
      <c r="I87" s="27" t="str">
        <f t="shared" si="68"/>
        <v>NO OT</v>
      </c>
    </row>
    <row r="88" spans="1:9" hidden="1" x14ac:dyDescent="0.25">
      <c r="A88" s="28" t="s">
        <v>495</v>
      </c>
      <c r="B88" s="29">
        <v>46139</v>
      </c>
      <c r="C88" s="32" t="s">
        <v>457</v>
      </c>
      <c r="D88" s="34" t="s">
        <v>360</v>
      </c>
      <c r="E88" s="34" t="s">
        <v>223</v>
      </c>
      <c r="F88" s="34" t="s">
        <v>294</v>
      </c>
      <c r="G88" s="28" t="str">
        <f t="shared" si="67"/>
        <v>OK</v>
      </c>
      <c r="H88" s="31">
        <f t="shared" si="53"/>
        <v>0.33611111111111097</v>
      </c>
      <c r="I88" s="27" t="str">
        <f t="shared" si="68"/>
        <v>NO OT</v>
      </c>
    </row>
    <row r="89" spans="1:9" hidden="1" x14ac:dyDescent="0.25">
      <c r="A89" s="28" t="s">
        <v>495</v>
      </c>
      <c r="B89" s="29">
        <v>46140</v>
      </c>
      <c r="C89" s="32" t="s">
        <v>458</v>
      </c>
      <c r="D89" s="34" t="s">
        <v>165</v>
      </c>
      <c r="E89" s="34" t="s">
        <v>197</v>
      </c>
      <c r="F89" s="34" t="s">
        <v>329</v>
      </c>
      <c r="G89" s="28" t="str">
        <f t="shared" si="67"/>
        <v>LATE</v>
      </c>
      <c r="H89" s="31">
        <f t="shared" si="53"/>
        <v>0.30486111111111103</v>
      </c>
      <c r="I89" s="27" t="str">
        <f t="shared" si="68"/>
        <v>NO OT</v>
      </c>
    </row>
    <row r="90" spans="1:9" hidden="1" x14ac:dyDescent="0.25">
      <c r="A90" s="28" t="s">
        <v>495</v>
      </c>
      <c r="B90" s="29">
        <v>46141</v>
      </c>
      <c r="C90" s="32" t="s">
        <v>459</v>
      </c>
      <c r="D90" s="34" t="s">
        <v>357</v>
      </c>
      <c r="E90" s="34" t="s">
        <v>203</v>
      </c>
      <c r="F90" s="34" t="s">
        <v>520</v>
      </c>
      <c r="G90" s="33" t="str">
        <f t="shared" si="67"/>
        <v>OK</v>
      </c>
      <c r="H90" s="31">
        <f t="shared" si="53"/>
        <v>0.34513888888888888</v>
      </c>
      <c r="I90" s="27" t="str">
        <f t="shared" si="68"/>
        <v>NO OT</v>
      </c>
    </row>
    <row r="91" spans="1:9" hidden="1" x14ac:dyDescent="0.25">
      <c r="A91" s="28" t="s">
        <v>495</v>
      </c>
      <c r="B91" s="29">
        <v>46142</v>
      </c>
      <c r="C91" s="32" t="s">
        <v>460</v>
      </c>
      <c r="D91" s="34" t="s">
        <v>205</v>
      </c>
      <c r="E91" s="34" t="s">
        <v>259</v>
      </c>
      <c r="F91" s="34" t="s">
        <v>520</v>
      </c>
      <c r="G91" s="28" t="str">
        <f t="shared" si="67"/>
        <v>OK</v>
      </c>
      <c r="H91" s="31">
        <f t="shared" si="53"/>
        <v>0.34513888888888888</v>
      </c>
      <c r="I91" s="27" t="str">
        <f t="shared" si="68"/>
        <v>NO OT</v>
      </c>
    </row>
    <row r="92" spans="1:9" hidden="1" x14ac:dyDescent="0.25">
      <c r="A92" s="28" t="s">
        <v>506</v>
      </c>
      <c r="B92" s="29">
        <v>46113</v>
      </c>
      <c r="C92" s="32" t="s">
        <v>459</v>
      </c>
      <c r="D92" s="34" t="s">
        <v>140</v>
      </c>
      <c r="E92" s="34" t="s">
        <v>209</v>
      </c>
      <c r="F92" s="34" t="s">
        <v>337</v>
      </c>
      <c r="G92" s="28" t="str">
        <f t="shared" ref="G92:G98" si="69">IF(C92="Sunday", "SUNDAY", IF(OR(D92=0, D92="", D92="0:0"), "ABSENT", IF(MOD(D92,1) &gt; TIME(9,45,0), "LATE", "OK")))</f>
        <v>LATE</v>
      </c>
      <c r="H92" s="31">
        <f t="shared" ref="H92:H98" si="70">IF(OR(D92=0, D92="", E92=0, E92=""), 0, (E92-D92)-TIME(1,0,0))</f>
        <v>0.30694444444444446</v>
      </c>
      <c r="I92" s="27" t="str">
        <f t="shared" ref="I92:I98" si="71">IF(VALUE(E92) &gt; TIME(19,0,0), TEXT(VALUE(E92) - TIME(19,0,0), "hh:mm"), "NO OT")</f>
        <v>NO OT</v>
      </c>
    </row>
    <row r="93" spans="1:9" hidden="1" x14ac:dyDescent="0.25">
      <c r="A93" s="28" t="s">
        <v>506</v>
      </c>
      <c r="B93" s="29">
        <v>46114</v>
      </c>
      <c r="C93" s="32" t="s">
        <v>460</v>
      </c>
      <c r="D93" s="34" t="s">
        <v>325</v>
      </c>
      <c r="E93" s="34" t="s">
        <v>480</v>
      </c>
      <c r="F93" s="34" t="s">
        <v>439</v>
      </c>
      <c r="G93" s="28" t="str">
        <f t="shared" si="69"/>
        <v>LATE</v>
      </c>
      <c r="H93" s="31">
        <f t="shared" si="70"/>
        <v>0.26805555555555549</v>
      </c>
      <c r="I93" s="27" t="str">
        <f t="shared" si="71"/>
        <v>NO OT</v>
      </c>
    </row>
    <row r="94" spans="1:9" hidden="1" x14ac:dyDescent="0.25">
      <c r="A94" s="28" t="s">
        <v>506</v>
      </c>
      <c r="B94" s="29">
        <v>46115</v>
      </c>
      <c r="C94" s="32" t="s">
        <v>461</v>
      </c>
      <c r="D94" s="34" t="s">
        <v>54</v>
      </c>
      <c r="E94" s="34" t="s">
        <v>217</v>
      </c>
      <c r="F94" s="34" t="s">
        <v>215</v>
      </c>
      <c r="G94" s="28" t="str">
        <f t="shared" si="69"/>
        <v>LATE</v>
      </c>
      <c r="H94" s="31">
        <f t="shared" si="70"/>
        <v>0.31805555555555554</v>
      </c>
      <c r="I94" s="27" t="str">
        <f t="shared" si="71"/>
        <v>NO OT</v>
      </c>
    </row>
    <row r="95" spans="1:9" hidden="1" x14ac:dyDescent="0.25">
      <c r="A95" s="28" t="s">
        <v>506</v>
      </c>
      <c r="B95" s="29">
        <v>46116</v>
      </c>
      <c r="C95" s="32" t="s">
        <v>463</v>
      </c>
      <c r="D95" s="34" t="s">
        <v>253</v>
      </c>
      <c r="E95" s="34" t="s">
        <v>212</v>
      </c>
      <c r="F95" s="34" t="s">
        <v>215</v>
      </c>
      <c r="G95" s="28" t="str">
        <f t="shared" si="69"/>
        <v>LATE</v>
      </c>
      <c r="H95" s="31">
        <f t="shared" si="70"/>
        <v>0.31805555555555548</v>
      </c>
      <c r="I95" s="27" t="str">
        <f t="shared" si="71"/>
        <v>NO OT</v>
      </c>
    </row>
    <row r="96" spans="1:9" hidden="1" x14ac:dyDescent="0.25">
      <c r="A96" s="28" t="s">
        <v>506</v>
      </c>
      <c r="B96" s="29">
        <v>46117</v>
      </c>
      <c r="C96" s="33" t="s">
        <v>456</v>
      </c>
      <c r="D96" s="34"/>
      <c r="E96" s="34"/>
      <c r="F96" s="34"/>
      <c r="G96" s="33" t="str">
        <f t="shared" si="69"/>
        <v>SUNDAY</v>
      </c>
      <c r="H96" s="31">
        <f t="shared" si="70"/>
        <v>0</v>
      </c>
      <c r="I96" s="27" t="str">
        <f t="shared" si="71"/>
        <v>NO OT</v>
      </c>
    </row>
    <row r="97" spans="1:9" hidden="1" x14ac:dyDescent="0.25">
      <c r="A97" s="28" t="s">
        <v>506</v>
      </c>
      <c r="B97" s="29">
        <v>46118</v>
      </c>
      <c r="C97" s="32" t="s">
        <v>457</v>
      </c>
      <c r="D97" s="34" t="s">
        <v>291</v>
      </c>
      <c r="E97" s="34" t="s">
        <v>197</v>
      </c>
      <c r="F97" s="34" t="s">
        <v>326</v>
      </c>
      <c r="G97" s="33" t="str">
        <f t="shared" si="69"/>
        <v>LATE</v>
      </c>
      <c r="H97" s="31">
        <f t="shared" si="70"/>
        <v>0.31388888888888877</v>
      </c>
      <c r="I97" s="27" t="str">
        <f t="shared" si="71"/>
        <v>NO OT</v>
      </c>
    </row>
    <row r="98" spans="1:9" hidden="1" x14ac:dyDescent="0.25">
      <c r="A98" s="28" t="s">
        <v>506</v>
      </c>
      <c r="B98" s="29">
        <v>46119</v>
      </c>
      <c r="C98" s="32" t="s">
        <v>458</v>
      </c>
      <c r="D98" s="34" t="s">
        <v>264</v>
      </c>
      <c r="E98" s="34" t="s">
        <v>214</v>
      </c>
      <c r="F98" s="34" t="s">
        <v>326</v>
      </c>
      <c r="G98" s="28" t="str">
        <f t="shared" si="69"/>
        <v>LATE</v>
      </c>
      <c r="H98" s="31">
        <f t="shared" si="70"/>
        <v>0.31388888888888883</v>
      </c>
      <c r="I98" s="27" t="str">
        <f t="shared" si="71"/>
        <v>NO OT</v>
      </c>
    </row>
    <row r="99" spans="1:9" hidden="1" x14ac:dyDescent="0.25">
      <c r="A99" s="28" t="s">
        <v>506</v>
      </c>
      <c r="B99" s="29">
        <v>46120</v>
      </c>
      <c r="C99" s="32" t="s">
        <v>459</v>
      </c>
      <c r="D99" s="34" t="s">
        <v>322</v>
      </c>
      <c r="E99" s="34" t="s">
        <v>223</v>
      </c>
      <c r="F99" s="34" t="s">
        <v>268</v>
      </c>
      <c r="G99" s="28" t="str">
        <f t="shared" ref="G99:G100" si="72">IF(C99="Sunday", "SUNDAY", IF(OR(D99=0, D99="", D99="0:0"), "ABSENT", IF(MOD(D99,1) &gt; TIME(9,45,0), "LATE", "OK")))</f>
        <v>LATE</v>
      </c>
      <c r="H99" s="31">
        <f t="shared" si="53"/>
        <v>0.32013888888888875</v>
      </c>
      <c r="I99" s="27" t="str">
        <f t="shared" ref="I99:I100" si="73">IF(VALUE(E99) &gt; TIME(19,0,0), TEXT(VALUE(E99) - TIME(19,0,0), "hh:mm"), "NO OT")</f>
        <v>NO OT</v>
      </c>
    </row>
    <row r="100" spans="1:9" hidden="1" x14ac:dyDescent="0.25">
      <c r="A100" s="28" t="s">
        <v>506</v>
      </c>
      <c r="B100" s="29">
        <v>46121</v>
      </c>
      <c r="C100" s="32" t="s">
        <v>460</v>
      </c>
      <c r="D100" s="34" t="s">
        <v>264</v>
      </c>
      <c r="E100" s="34" t="s">
        <v>12</v>
      </c>
      <c r="F100" s="34" t="s">
        <v>188</v>
      </c>
      <c r="G100" s="28" t="str">
        <f t="shared" si="72"/>
        <v>LATE</v>
      </c>
      <c r="H100" s="31">
        <f t="shared" si="53"/>
        <v>-0.4548611111111111</v>
      </c>
      <c r="I100" s="27" t="str">
        <f t="shared" si="73"/>
        <v>NO OT</v>
      </c>
    </row>
    <row r="101" spans="1:9" hidden="1" x14ac:dyDescent="0.25">
      <c r="A101" s="28" t="s">
        <v>506</v>
      </c>
      <c r="B101" s="29">
        <v>46122</v>
      </c>
      <c r="C101" s="32" t="s">
        <v>461</v>
      </c>
      <c r="D101" s="34" t="s">
        <v>216</v>
      </c>
      <c r="E101" s="34" t="s">
        <v>292</v>
      </c>
      <c r="F101" s="34" t="s">
        <v>321</v>
      </c>
      <c r="G101" s="28" t="str">
        <f t="shared" ref="G101:G102" si="74">IF(C101="Sunday", "SUNDAY", IF(OR(D101=0, D101="", D101="0:0"), "ABSENT", IF(MOD(D101,1) &gt; TIME(9,45,0), "LATE", "OK")))</f>
        <v>LATE</v>
      </c>
      <c r="H101" s="31">
        <f t="shared" ref="H101:H102" si="75">IF(OR(D101=0, D101="", E101=0, E101=""), 0, (E101-D101)-TIME(1,0,0))</f>
        <v>0.31597222222222227</v>
      </c>
      <c r="I101" s="27" t="str">
        <f t="shared" ref="I101:I102" si="76">IF(VALUE(E101) &gt; TIME(19,0,0), TEXT(VALUE(E101) - TIME(19,0,0), "hh:mm"), "NO OT")</f>
        <v>NO OT</v>
      </c>
    </row>
    <row r="102" spans="1:9" hidden="1" x14ac:dyDescent="0.25">
      <c r="A102" s="28" t="s">
        <v>506</v>
      </c>
      <c r="B102" s="29">
        <v>46123</v>
      </c>
      <c r="C102" s="32" t="s">
        <v>463</v>
      </c>
      <c r="D102" s="34" t="s">
        <v>305</v>
      </c>
      <c r="E102" s="34" t="s">
        <v>270</v>
      </c>
      <c r="F102" s="34" t="s">
        <v>326</v>
      </c>
      <c r="G102" s="28" t="str">
        <f t="shared" si="74"/>
        <v>OK</v>
      </c>
      <c r="H102" s="31">
        <f t="shared" si="75"/>
        <v>0.31388888888888894</v>
      </c>
      <c r="I102" s="27" t="str">
        <f t="shared" si="76"/>
        <v>NO OT</v>
      </c>
    </row>
    <row r="103" spans="1:9" hidden="1" x14ac:dyDescent="0.25">
      <c r="A103" s="28" t="s">
        <v>506</v>
      </c>
      <c r="B103" s="29">
        <v>46124</v>
      </c>
      <c r="C103" s="33" t="s">
        <v>456</v>
      </c>
      <c r="D103" s="34"/>
      <c r="E103" s="34"/>
      <c r="F103" s="34"/>
      <c r="G103" s="33" t="str">
        <f t="shared" ref="G103:G107" si="77">IF(C103="Sunday", "SUNDAY", IF(OR(D103=0, D103="", D103="0:0"), "ABSENT", IF(MOD(D103,1) &gt; TIME(9,45,0), "LATE", "OK")))</f>
        <v>SUNDAY</v>
      </c>
      <c r="H103" s="31">
        <f t="shared" si="53"/>
        <v>0</v>
      </c>
      <c r="I103" s="27" t="str">
        <f t="shared" ref="I103:I107" si="78">IF(VALUE(E103) &gt; TIME(19,0,0), TEXT(VALUE(E103) - TIME(19,0,0), "hh:mm"), "NO OT")</f>
        <v>NO OT</v>
      </c>
    </row>
    <row r="104" spans="1:9" hidden="1" x14ac:dyDescent="0.25">
      <c r="A104" s="28" t="s">
        <v>506</v>
      </c>
      <c r="B104" s="29">
        <v>46125</v>
      </c>
      <c r="C104" s="32" t="s">
        <v>457</v>
      </c>
      <c r="D104" s="34" t="s">
        <v>253</v>
      </c>
      <c r="E104" s="34" t="s">
        <v>220</v>
      </c>
      <c r="F104" s="34" t="s">
        <v>327</v>
      </c>
      <c r="G104" s="33" t="str">
        <f t="shared" si="77"/>
        <v>LATE</v>
      </c>
      <c r="H104" s="31">
        <f t="shared" si="53"/>
        <v>0.32222222222222224</v>
      </c>
      <c r="I104" s="27" t="str">
        <f t="shared" si="78"/>
        <v>NO OT</v>
      </c>
    </row>
    <row r="105" spans="1:9" hidden="1" x14ac:dyDescent="0.25">
      <c r="A105" s="28" t="s">
        <v>506</v>
      </c>
      <c r="B105" s="29">
        <v>46126</v>
      </c>
      <c r="C105" s="32" t="s">
        <v>458</v>
      </c>
      <c r="D105" s="34" t="s">
        <v>185</v>
      </c>
      <c r="E105" s="34" t="s">
        <v>601</v>
      </c>
      <c r="F105" s="34" t="s">
        <v>275</v>
      </c>
      <c r="G105" s="28" t="str">
        <f t="shared" si="77"/>
        <v>LATE</v>
      </c>
      <c r="H105" s="31">
        <f t="shared" si="53"/>
        <v>0.30972222222222212</v>
      </c>
      <c r="I105" s="27" t="str">
        <f t="shared" si="78"/>
        <v>NO OT</v>
      </c>
    </row>
    <row r="106" spans="1:9" hidden="1" x14ac:dyDescent="0.25">
      <c r="A106" s="28" t="s">
        <v>506</v>
      </c>
      <c r="B106" s="29">
        <v>46127</v>
      </c>
      <c r="C106" s="32" t="s">
        <v>459</v>
      </c>
      <c r="D106" s="34" t="s">
        <v>54</v>
      </c>
      <c r="E106" s="34" t="s">
        <v>197</v>
      </c>
      <c r="F106" s="34" t="s">
        <v>331</v>
      </c>
      <c r="G106" s="28" t="str">
        <f t="shared" si="77"/>
        <v>LATE</v>
      </c>
      <c r="H106" s="31">
        <f t="shared" si="53"/>
        <v>0.31111111111111101</v>
      </c>
      <c r="I106" s="27" t="str">
        <f t="shared" si="78"/>
        <v>NO OT</v>
      </c>
    </row>
    <row r="107" spans="1:9" hidden="1" x14ac:dyDescent="0.25">
      <c r="A107" s="28" t="s">
        <v>506</v>
      </c>
      <c r="B107" s="29">
        <v>46128</v>
      </c>
      <c r="C107" s="32" t="s">
        <v>460</v>
      </c>
      <c r="D107" s="34" t="s">
        <v>514</v>
      </c>
      <c r="E107" s="34" t="s">
        <v>193</v>
      </c>
      <c r="F107" s="34" t="s">
        <v>208</v>
      </c>
      <c r="G107" s="28" t="str">
        <f t="shared" si="77"/>
        <v>LATE</v>
      </c>
      <c r="H107" s="31">
        <f t="shared" si="53"/>
        <v>0.3215277777777778</v>
      </c>
      <c r="I107" s="27" t="str">
        <f t="shared" si="78"/>
        <v>NO OT</v>
      </c>
    </row>
    <row r="108" spans="1:9" hidden="1" x14ac:dyDescent="0.25">
      <c r="A108" s="28" t="s">
        <v>506</v>
      </c>
      <c r="B108" s="29">
        <v>46129</v>
      </c>
      <c r="C108" s="32" t="s">
        <v>461</v>
      </c>
      <c r="D108" s="34" t="s">
        <v>330</v>
      </c>
      <c r="E108" s="34" t="s">
        <v>209</v>
      </c>
      <c r="F108" s="34" t="s">
        <v>293</v>
      </c>
      <c r="G108" s="28" t="str">
        <f t="shared" ref="G108:G171" si="79">IF(C108="Sunday", "SUNDAY", IF(OR(D108=0, D108="", D108="0:0"), "ABSENT", IF(MOD(D108,1) &gt; TIME(9,45,0), "LATE", "OK")))</f>
        <v>LATE</v>
      </c>
      <c r="H108" s="31">
        <f t="shared" ref="H108:H171" si="80">IF(OR(D108=0, D108="", E108=0, E108=""), 0, (E108-D108)-TIME(1,0,0))</f>
        <v>0.31250000000000006</v>
      </c>
      <c r="I108" s="27" t="str">
        <f t="shared" ref="I108:I171" si="81">IF(VALUE(E108) &gt; TIME(19,0,0), TEXT(VALUE(E108) - TIME(19,0,0), "hh:mm"), "NO OT")</f>
        <v>NO OT</v>
      </c>
    </row>
    <row r="109" spans="1:9" hidden="1" x14ac:dyDescent="0.25">
      <c r="A109" s="28" t="s">
        <v>506</v>
      </c>
      <c r="B109" s="29">
        <v>46130</v>
      </c>
      <c r="C109" s="32" t="s">
        <v>463</v>
      </c>
      <c r="D109" s="34" t="s">
        <v>351</v>
      </c>
      <c r="E109" s="34" t="s">
        <v>238</v>
      </c>
      <c r="F109" s="34" t="s">
        <v>281</v>
      </c>
      <c r="G109" s="28" t="str">
        <f t="shared" si="79"/>
        <v>OK</v>
      </c>
      <c r="H109" s="31">
        <f t="shared" si="80"/>
        <v>0.29305555555555551</v>
      </c>
      <c r="I109" s="27" t="str">
        <f t="shared" si="81"/>
        <v>NO OT</v>
      </c>
    </row>
    <row r="110" spans="1:9" ht="12.75" hidden="1" customHeight="1" x14ac:dyDescent="0.25">
      <c r="A110" s="28" t="s">
        <v>506</v>
      </c>
      <c r="B110" s="29">
        <v>46131</v>
      </c>
      <c r="C110" s="33" t="s">
        <v>456</v>
      </c>
      <c r="D110" s="34"/>
      <c r="E110" s="34"/>
      <c r="F110" s="34"/>
      <c r="G110" s="33" t="str">
        <f t="shared" si="79"/>
        <v>SUNDAY</v>
      </c>
      <c r="H110" s="31">
        <f t="shared" si="80"/>
        <v>0</v>
      </c>
      <c r="I110" s="27" t="str">
        <f t="shared" si="81"/>
        <v>NO OT</v>
      </c>
    </row>
    <row r="111" spans="1:9" ht="12.75" hidden="1" customHeight="1" x14ac:dyDescent="0.25">
      <c r="A111" s="28" t="s">
        <v>506</v>
      </c>
      <c r="B111" s="29">
        <v>46132</v>
      </c>
      <c r="C111" s="32" t="s">
        <v>457</v>
      </c>
      <c r="D111" s="34" t="s">
        <v>332</v>
      </c>
      <c r="E111" s="34" t="s">
        <v>389</v>
      </c>
      <c r="F111" s="34" t="s">
        <v>268</v>
      </c>
      <c r="G111" s="33" t="str">
        <f t="shared" si="79"/>
        <v>LATE</v>
      </c>
      <c r="H111" s="31">
        <f t="shared" si="80"/>
        <v>0.32013888888888875</v>
      </c>
      <c r="I111" s="27" t="str">
        <f t="shared" si="81"/>
        <v>NO OT</v>
      </c>
    </row>
    <row r="112" spans="1:9" ht="12.75" hidden="1" customHeight="1" x14ac:dyDescent="0.25">
      <c r="A112" s="28" t="s">
        <v>506</v>
      </c>
      <c r="B112" s="29">
        <v>46133</v>
      </c>
      <c r="C112" s="32" t="s">
        <v>458</v>
      </c>
      <c r="D112" s="34" t="s">
        <v>511</v>
      </c>
      <c r="E112" s="34" t="s">
        <v>397</v>
      </c>
      <c r="F112" s="34" t="s">
        <v>262</v>
      </c>
      <c r="G112" s="28" t="str">
        <f t="shared" si="79"/>
        <v>LATE</v>
      </c>
      <c r="H112" s="31">
        <f t="shared" si="80"/>
        <v>0.32361111111111107</v>
      </c>
      <c r="I112" s="27" t="str">
        <f t="shared" si="81"/>
        <v>NO OT</v>
      </c>
    </row>
    <row r="113" spans="1:9" hidden="1" x14ac:dyDescent="0.25">
      <c r="A113" s="28" t="s">
        <v>506</v>
      </c>
      <c r="B113" s="29">
        <v>46134</v>
      </c>
      <c r="C113" s="32" t="s">
        <v>459</v>
      </c>
      <c r="D113" s="34" t="s">
        <v>100</v>
      </c>
      <c r="E113" s="34" t="s">
        <v>214</v>
      </c>
      <c r="F113" s="34" t="s">
        <v>275</v>
      </c>
      <c r="G113" s="28" t="str">
        <f t="shared" si="79"/>
        <v>LATE</v>
      </c>
      <c r="H113" s="31">
        <f t="shared" si="80"/>
        <v>0.30972222222222212</v>
      </c>
      <c r="I113" s="27" t="str">
        <f t="shared" si="81"/>
        <v>NO OT</v>
      </c>
    </row>
    <row r="114" spans="1:9" ht="12.75" hidden="1" customHeight="1" x14ac:dyDescent="0.25">
      <c r="A114" s="28" t="s">
        <v>506</v>
      </c>
      <c r="B114" s="29">
        <v>46135</v>
      </c>
      <c r="C114" s="32" t="s">
        <v>460</v>
      </c>
      <c r="D114" s="34" t="s">
        <v>161</v>
      </c>
      <c r="E114" s="34" t="s">
        <v>311</v>
      </c>
      <c r="F114" s="34" t="s">
        <v>326</v>
      </c>
      <c r="G114" s="28" t="str">
        <f t="shared" si="79"/>
        <v>LATE</v>
      </c>
      <c r="H114" s="31">
        <f t="shared" si="80"/>
        <v>0.31388888888888888</v>
      </c>
      <c r="I114" s="27" t="str">
        <f t="shared" si="81"/>
        <v>NO OT</v>
      </c>
    </row>
    <row r="115" spans="1:9" hidden="1" x14ac:dyDescent="0.25">
      <c r="A115" s="28" t="s">
        <v>506</v>
      </c>
      <c r="B115" s="29">
        <v>46136</v>
      </c>
      <c r="C115" s="32" t="s">
        <v>461</v>
      </c>
      <c r="D115" s="34" t="s">
        <v>511</v>
      </c>
      <c r="E115" s="34" t="s">
        <v>346</v>
      </c>
      <c r="F115" s="34" t="s">
        <v>501</v>
      </c>
      <c r="G115" s="28" t="str">
        <f t="shared" si="79"/>
        <v>LATE</v>
      </c>
      <c r="H115" s="31">
        <f t="shared" si="80"/>
        <v>0.31666666666666665</v>
      </c>
      <c r="I115" s="27" t="str">
        <f t="shared" si="81"/>
        <v>NO OT</v>
      </c>
    </row>
    <row r="116" spans="1:9" hidden="1" x14ac:dyDescent="0.25">
      <c r="A116" s="28" t="s">
        <v>506</v>
      </c>
      <c r="B116" s="29">
        <v>46137</v>
      </c>
      <c r="C116" s="32" t="s">
        <v>463</v>
      </c>
      <c r="D116" s="34" t="s">
        <v>322</v>
      </c>
      <c r="E116" s="34" t="s">
        <v>214</v>
      </c>
      <c r="F116" s="34" t="s">
        <v>352</v>
      </c>
      <c r="G116" s="28" t="str">
        <f t="shared" si="79"/>
        <v>LATE</v>
      </c>
      <c r="H116" s="31">
        <f t="shared" si="80"/>
        <v>0.31458333333333321</v>
      </c>
      <c r="I116" s="27" t="str">
        <f t="shared" si="81"/>
        <v>NO OT</v>
      </c>
    </row>
    <row r="117" spans="1:9" ht="12.75" hidden="1" customHeight="1" x14ac:dyDescent="0.25">
      <c r="A117" s="28" t="s">
        <v>506</v>
      </c>
      <c r="B117" s="29">
        <v>46138</v>
      </c>
      <c r="C117" s="33" t="s">
        <v>456</v>
      </c>
      <c r="D117" s="34"/>
      <c r="E117" s="34"/>
      <c r="F117" s="34"/>
      <c r="G117" s="33" t="str">
        <f t="shared" si="79"/>
        <v>SUNDAY</v>
      </c>
      <c r="H117" s="31">
        <f t="shared" si="80"/>
        <v>0</v>
      </c>
      <c r="I117" s="27" t="str">
        <f t="shared" si="81"/>
        <v>NO OT</v>
      </c>
    </row>
    <row r="118" spans="1:9" ht="12.75" hidden="1" customHeight="1" x14ac:dyDescent="0.25">
      <c r="A118" s="28" t="s">
        <v>506</v>
      </c>
      <c r="B118" s="29">
        <v>46139</v>
      </c>
      <c r="C118" s="32" t="s">
        <v>457</v>
      </c>
      <c r="D118" s="34" t="s">
        <v>101</v>
      </c>
      <c r="E118" s="34" t="s">
        <v>259</v>
      </c>
      <c r="F118" s="34" t="s">
        <v>198</v>
      </c>
      <c r="G118" s="33" t="str">
        <f t="shared" si="79"/>
        <v>LATE</v>
      </c>
      <c r="H118" s="31">
        <f t="shared" si="80"/>
        <v>0.30902777777777779</v>
      </c>
      <c r="I118" s="27" t="str">
        <f t="shared" si="81"/>
        <v>NO OT</v>
      </c>
    </row>
    <row r="119" spans="1:9" hidden="1" x14ac:dyDescent="0.25">
      <c r="A119" s="28" t="s">
        <v>506</v>
      </c>
      <c r="B119" s="29">
        <v>46140</v>
      </c>
      <c r="C119" s="32" t="s">
        <v>458</v>
      </c>
      <c r="D119" s="34"/>
      <c r="E119" s="34"/>
      <c r="F119" s="34"/>
      <c r="G119" s="33" t="str">
        <f t="shared" si="79"/>
        <v>ABSENT</v>
      </c>
      <c r="H119" s="31">
        <f t="shared" si="80"/>
        <v>0</v>
      </c>
      <c r="I119" s="27" t="str">
        <f t="shared" si="81"/>
        <v>NO OT</v>
      </c>
    </row>
    <row r="120" spans="1:9" ht="12.75" hidden="1" customHeight="1" x14ac:dyDescent="0.25">
      <c r="A120" s="28" t="s">
        <v>506</v>
      </c>
      <c r="B120" s="29">
        <v>46141</v>
      </c>
      <c r="C120" s="32" t="s">
        <v>459</v>
      </c>
      <c r="D120" s="34" t="s">
        <v>100</v>
      </c>
      <c r="E120" s="34" t="s">
        <v>223</v>
      </c>
      <c r="F120" s="34" t="s">
        <v>226</v>
      </c>
      <c r="G120" s="28" t="str">
        <f t="shared" si="79"/>
        <v>LATE</v>
      </c>
      <c r="H120" s="31">
        <f t="shared" si="80"/>
        <v>0.31527777777777766</v>
      </c>
      <c r="I120" s="27" t="str">
        <f t="shared" si="81"/>
        <v>NO OT</v>
      </c>
    </row>
    <row r="121" spans="1:9" ht="12.75" hidden="1" customHeight="1" x14ac:dyDescent="0.25">
      <c r="A121" s="28" t="s">
        <v>506</v>
      </c>
      <c r="B121" s="29">
        <v>46142</v>
      </c>
      <c r="C121" s="32" t="s">
        <v>460</v>
      </c>
      <c r="D121" s="34" t="s">
        <v>322</v>
      </c>
      <c r="E121" s="34" t="s">
        <v>190</v>
      </c>
      <c r="F121" s="34" t="s">
        <v>215</v>
      </c>
      <c r="G121" s="28" t="str">
        <f t="shared" si="79"/>
        <v>LATE</v>
      </c>
      <c r="H121" s="31">
        <f t="shared" si="80"/>
        <v>0.31805555555555554</v>
      </c>
      <c r="I121" s="27" t="str">
        <f t="shared" si="81"/>
        <v>NO OT</v>
      </c>
    </row>
    <row r="122" spans="1:9" ht="12.75" hidden="1" customHeight="1" x14ac:dyDescent="0.25">
      <c r="A122" s="28" t="s">
        <v>109</v>
      </c>
      <c r="B122" s="29">
        <v>46113</v>
      </c>
      <c r="C122" s="32" t="s">
        <v>459</v>
      </c>
      <c r="D122" s="34" t="s">
        <v>371</v>
      </c>
      <c r="E122" s="34" t="s">
        <v>254</v>
      </c>
      <c r="F122" s="34" t="s">
        <v>294</v>
      </c>
      <c r="G122" s="28" t="str">
        <f t="shared" si="79"/>
        <v>OK</v>
      </c>
      <c r="H122" s="31">
        <f t="shared" si="80"/>
        <v>0.33611111111111114</v>
      </c>
      <c r="I122" s="27" t="str">
        <f t="shared" si="81"/>
        <v>NO OT</v>
      </c>
    </row>
    <row r="123" spans="1:9" hidden="1" x14ac:dyDescent="0.25">
      <c r="A123" s="28" t="s">
        <v>109</v>
      </c>
      <c r="B123" s="29">
        <v>46114</v>
      </c>
      <c r="C123" s="32" t="s">
        <v>460</v>
      </c>
      <c r="D123" s="34" t="s">
        <v>211</v>
      </c>
      <c r="E123" s="34" t="s">
        <v>280</v>
      </c>
      <c r="F123" s="34" t="s">
        <v>469</v>
      </c>
      <c r="G123" s="28" t="str">
        <f t="shared" si="79"/>
        <v>OK</v>
      </c>
      <c r="H123" s="31">
        <f t="shared" si="80"/>
        <v>0.28263888888888899</v>
      </c>
      <c r="I123" s="27" t="str">
        <f t="shared" si="81"/>
        <v>NO OT</v>
      </c>
    </row>
    <row r="124" spans="1:9" ht="12.75" hidden="1" customHeight="1" x14ac:dyDescent="0.25">
      <c r="A124" s="28" t="s">
        <v>109</v>
      </c>
      <c r="B124" s="29">
        <v>46115</v>
      </c>
      <c r="C124" s="32" t="s">
        <v>461</v>
      </c>
      <c r="D124" s="34" t="s">
        <v>371</v>
      </c>
      <c r="E124" s="34" t="s">
        <v>602</v>
      </c>
      <c r="F124" s="34" t="s">
        <v>619</v>
      </c>
      <c r="G124" s="28" t="str">
        <f t="shared" si="79"/>
        <v>OK</v>
      </c>
      <c r="H124" s="31">
        <f t="shared" si="80"/>
        <v>0.34236111111111112</v>
      </c>
      <c r="I124" s="27" t="str">
        <f t="shared" si="81"/>
        <v>NO OT</v>
      </c>
    </row>
    <row r="125" spans="1:9" ht="12.75" hidden="1" customHeight="1" x14ac:dyDescent="0.25">
      <c r="A125" s="28" t="s">
        <v>109</v>
      </c>
      <c r="B125" s="29">
        <v>46116</v>
      </c>
      <c r="C125" s="32" t="s">
        <v>463</v>
      </c>
      <c r="D125" s="34" t="s">
        <v>494</v>
      </c>
      <c r="E125" s="34" t="s">
        <v>249</v>
      </c>
      <c r="F125" s="34" t="s">
        <v>423</v>
      </c>
      <c r="G125" s="33" t="str">
        <f t="shared" si="79"/>
        <v>OK</v>
      </c>
      <c r="H125" s="31">
        <f t="shared" si="80"/>
        <v>0.34791666666666665</v>
      </c>
      <c r="I125" s="27" t="str">
        <f t="shared" si="81"/>
        <v>NO OT</v>
      </c>
    </row>
    <row r="126" spans="1:9" hidden="1" x14ac:dyDescent="0.25">
      <c r="A126" s="28" t="s">
        <v>109</v>
      </c>
      <c r="B126" s="29">
        <v>46117</v>
      </c>
      <c r="C126" s="33" t="s">
        <v>456</v>
      </c>
      <c r="D126" s="34"/>
      <c r="E126" s="34"/>
      <c r="F126" s="34"/>
      <c r="G126" s="33" t="str">
        <f t="shared" si="79"/>
        <v>SUNDAY</v>
      </c>
      <c r="H126" s="31">
        <f t="shared" si="80"/>
        <v>0</v>
      </c>
      <c r="I126" s="27" t="str">
        <f t="shared" si="81"/>
        <v>NO OT</v>
      </c>
    </row>
    <row r="127" spans="1:9" ht="12.75" hidden="1" customHeight="1" x14ac:dyDescent="0.25">
      <c r="A127" s="28" t="s">
        <v>109</v>
      </c>
      <c r="B127" s="29">
        <v>46118</v>
      </c>
      <c r="C127" s="32" t="s">
        <v>457</v>
      </c>
      <c r="D127" s="34" t="s">
        <v>269</v>
      </c>
      <c r="E127" s="34" t="s">
        <v>223</v>
      </c>
      <c r="F127" s="34" t="s">
        <v>221</v>
      </c>
      <c r="G127" s="28" t="str">
        <f t="shared" si="79"/>
        <v>OK</v>
      </c>
      <c r="H127" s="31">
        <f t="shared" si="80"/>
        <v>0.3333333333333332</v>
      </c>
      <c r="I127" s="27" t="str">
        <f t="shared" si="81"/>
        <v>NO OT</v>
      </c>
    </row>
    <row r="128" spans="1:9" ht="12.75" hidden="1" customHeight="1" x14ac:dyDescent="0.25">
      <c r="A128" s="28" t="s">
        <v>109</v>
      </c>
      <c r="B128" s="29">
        <v>46119</v>
      </c>
      <c r="C128" s="32" t="s">
        <v>458</v>
      </c>
      <c r="D128" s="34" t="s">
        <v>544</v>
      </c>
      <c r="E128" s="34" t="s">
        <v>254</v>
      </c>
      <c r="F128" s="34" t="s">
        <v>426</v>
      </c>
      <c r="G128" s="28" t="str">
        <f t="shared" si="79"/>
        <v>LATE</v>
      </c>
      <c r="H128" s="31">
        <f t="shared" si="80"/>
        <v>0.2590277777777778</v>
      </c>
      <c r="I128" s="27" t="str">
        <f t="shared" si="81"/>
        <v>NO OT</v>
      </c>
    </row>
    <row r="129" spans="1:9" hidden="1" x14ac:dyDescent="0.25">
      <c r="A129" s="28" t="s">
        <v>109</v>
      </c>
      <c r="B129" s="29">
        <v>46120</v>
      </c>
      <c r="C129" s="32" t="s">
        <v>459</v>
      </c>
      <c r="D129" s="34" t="s">
        <v>189</v>
      </c>
      <c r="E129" s="34" t="s">
        <v>317</v>
      </c>
      <c r="F129" s="34" t="s">
        <v>375</v>
      </c>
      <c r="G129" s="28" t="str">
        <f t="shared" si="79"/>
        <v>OK</v>
      </c>
      <c r="H129" s="31">
        <f t="shared" si="80"/>
        <v>0.31319444444444444</v>
      </c>
      <c r="I129" s="27" t="str">
        <f t="shared" si="81"/>
        <v>NO OT</v>
      </c>
    </row>
    <row r="130" spans="1:9" ht="12.75" hidden="1" customHeight="1" x14ac:dyDescent="0.25">
      <c r="A130" s="28" t="s">
        <v>109</v>
      </c>
      <c r="B130" s="29">
        <v>46121</v>
      </c>
      <c r="C130" s="32" t="s">
        <v>460</v>
      </c>
      <c r="D130" s="34" t="s">
        <v>256</v>
      </c>
      <c r="E130" s="34" t="s">
        <v>220</v>
      </c>
      <c r="F130" s="34" t="s">
        <v>294</v>
      </c>
      <c r="G130" s="28" t="str">
        <f t="shared" si="79"/>
        <v>OK</v>
      </c>
      <c r="H130" s="31">
        <f t="shared" si="80"/>
        <v>0.33611111111111108</v>
      </c>
      <c r="I130" s="27" t="str">
        <f t="shared" si="81"/>
        <v>NO OT</v>
      </c>
    </row>
    <row r="131" spans="1:9" ht="12.75" hidden="1" customHeight="1" x14ac:dyDescent="0.25">
      <c r="A131" s="28" t="s">
        <v>109</v>
      </c>
      <c r="B131" s="29">
        <v>46122</v>
      </c>
      <c r="C131" s="32" t="s">
        <v>461</v>
      </c>
      <c r="D131" s="34" t="s">
        <v>168</v>
      </c>
      <c r="E131" s="34" t="s">
        <v>12</v>
      </c>
      <c r="F131" s="34" t="s">
        <v>188</v>
      </c>
      <c r="G131" s="28" t="str">
        <f t="shared" si="79"/>
        <v>LATE</v>
      </c>
      <c r="H131" s="31">
        <f t="shared" si="80"/>
        <v>-0.46180555555555558</v>
      </c>
      <c r="I131" s="27" t="str">
        <f t="shared" si="81"/>
        <v>NO OT</v>
      </c>
    </row>
    <row r="132" spans="1:9" ht="12.75" hidden="1" customHeight="1" x14ac:dyDescent="0.25">
      <c r="A132" s="28" t="s">
        <v>109</v>
      </c>
      <c r="B132" s="29">
        <v>46123</v>
      </c>
      <c r="C132" s="32" t="s">
        <v>463</v>
      </c>
      <c r="D132" s="34" t="s">
        <v>199</v>
      </c>
      <c r="E132" s="34" t="s">
        <v>303</v>
      </c>
      <c r="F132" s="34" t="s">
        <v>321</v>
      </c>
      <c r="G132" s="33" t="str">
        <f t="shared" si="79"/>
        <v>LATE</v>
      </c>
      <c r="H132" s="31">
        <f t="shared" si="80"/>
        <v>0.31597222222222215</v>
      </c>
      <c r="I132" s="27" t="str">
        <f t="shared" si="81"/>
        <v>NO OT</v>
      </c>
    </row>
    <row r="133" spans="1:9" hidden="1" x14ac:dyDescent="0.25">
      <c r="A133" s="28" t="s">
        <v>109</v>
      </c>
      <c r="B133" s="29">
        <v>46124</v>
      </c>
      <c r="C133" s="33" t="s">
        <v>456</v>
      </c>
      <c r="D133" s="34"/>
      <c r="E133" s="34"/>
      <c r="F133" s="34"/>
      <c r="G133" s="33" t="str">
        <f t="shared" si="79"/>
        <v>SUNDAY</v>
      </c>
      <c r="H133" s="31">
        <f t="shared" si="80"/>
        <v>0</v>
      </c>
      <c r="I133" s="27" t="str">
        <f t="shared" si="81"/>
        <v>NO OT</v>
      </c>
    </row>
    <row r="134" spans="1:9" ht="12.75" hidden="1" customHeight="1" x14ac:dyDescent="0.25">
      <c r="A134" s="28" t="s">
        <v>109</v>
      </c>
      <c r="B134" s="29">
        <v>46125</v>
      </c>
      <c r="C134" s="32" t="s">
        <v>457</v>
      </c>
      <c r="D134" s="34" t="s">
        <v>315</v>
      </c>
      <c r="E134" s="34" t="s">
        <v>376</v>
      </c>
      <c r="F134" s="34" t="s">
        <v>358</v>
      </c>
      <c r="G134" s="28" t="str">
        <f t="shared" si="79"/>
        <v>OK</v>
      </c>
      <c r="H134" s="31">
        <f t="shared" si="80"/>
        <v>0.33958333333333329</v>
      </c>
      <c r="I134" s="27" t="str">
        <f t="shared" si="81"/>
        <v>NO OT</v>
      </c>
    </row>
    <row r="135" spans="1:9" ht="12.75" hidden="1" customHeight="1" x14ac:dyDescent="0.25">
      <c r="A135" s="28" t="s">
        <v>109</v>
      </c>
      <c r="B135" s="29">
        <v>46126</v>
      </c>
      <c r="C135" s="32" t="s">
        <v>458</v>
      </c>
      <c r="D135" s="34" t="s">
        <v>591</v>
      </c>
      <c r="E135" s="34" t="s">
        <v>296</v>
      </c>
      <c r="F135" s="34" t="s">
        <v>407</v>
      </c>
      <c r="G135" s="28" t="str">
        <f t="shared" si="79"/>
        <v>OK</v>
      </c>
      <c r="H135" s="31">
        <f t="shared" si="80"/>
        <v>0.36180555555555555</v>
      </c>
      <c r="I135" s="27" t="str">
        <f t="shared" si="81"/>
        <v>NO OT</v>
      </c>
    </row>
    <row r="136" spans="1:9" ht="12.75" hidden="1" customHeight="1" x14ac:dyDescent="0.25">
      <c r="A136" s="28" t="s">
        <v>109</v>
      </c>
      <c r="B136" s="29">
        <v>46127</v>
      </c>
      <c r="C136" s="32" t="s">
        <v>459</v>
      </c>
      <c r="D136" s="34" t="s">
        <v>351</v>
      </c>
      <c r="E136" s="34" t="s">
        <v>217</v>
      </c>
      <c r="F136" s="34" t="s">
        <v>191</v>
      </c>
      <c r="G136" s="28" t="str">
        <f t="shared" si="79"/>
        <v>OK</v>
      </c>
      <c r="H136" s="31">
        <f t="shared" si="80"/>
        <v>0.32916666666666672</v>
      </c>
      <c r="I136" s="27" t="str">
        <f t="shared" si="81"/>
        <v>NO OT</v>
      </c>
    </row>
    <row r="137" spans="1:9" ht="12.75" hidden="1" customHeight="1" x14ac:dyDescent="0.25">
      <c r="A137" s="28" t="s">
        <v>109</v>
      </c>
      <c r="B137" s="29">
        <v>46128</v>
      </c>
      <c r="C137" s="32" t="s">
        <v>460</v>
      </c>
      <c r="D137" s="34" t="s">
        <v>315</v>
      </c>
      <c r="E137" s="34" t="s">
        <v>251</v>
      </c>
      <c r="F137" s="34" t="s">
        <v>248</v>
      </c>
      <c r="G137" s="28" t="str">
        <f t="shared" si="79"/>
        <v>OK</v>
      </c>
      <c r="H137" s="31">
        <f t="shared" si="80"/>
        <v>0.33750000000000008</v>
      </c>
      <c r="I137" s="27" t="str">
        <f t="shared" si="81"/>
        <v>NO OT</v>
      </c>
    </row>
    <row r="138" spans="1:9" ht="12.75" hidden="1" customHeight="1" x14ac:dyDescent="0.25">
      <c r="A138" s="28" t="s">
        <v>109</v>
      </c>
      <c r="B138" s="29">
        <v>46129</v>
      </c>
      <c r="C138" s="32" t="s">
        <v>461</v>
      </c>
      <c r="D138" s="34" t="s">
        <v>169</v>
      </c>
      <c r="E138" s="34" t="s">
        <v>346</v>
      </c>
      <c r="F138" s="34" t="s">
        <v>215</v>
      </c>
      <c r="G138" s="28" t="str">
        <f t="shared" si="79"/>
        <v>LATE</v>
      </c>
      <c r="H138" s="31">
        <f t="shared" si="80"/>
        <v>0.31805555555555554</v>
      </c>
      <c r="I138" s="27" t="str">
        <f t="shared" si="81"/>
        <v>NO OT</v>
      </c>
    </row>
    <row r="139" spans="1:9" ht="12.75" hidden="1" customHeight="1" x14ac:dyDescent="0.25">
      <c r="A139" s="28" t="s">
        <v>109</v>
      </c>
      <c r="B139" s="29">
        <v>46130</v>
      </c>
      <c r="C139" s="32" t="s">
        <v>463</v>
      </c>
      <c r="D139" s="34" t="s">
        <v>371</v>
      </c>
      <c r="E139" s="34" t="s">
        <v>220</v>
      </c>
      <c r="F139" s="34" t="s">
        <v>252</v>
      </c>
      <c r="G139" s="33" t="str">
        <f t="shared" si="79"/>
        <v>OK</v>
      </c>
      <c r="H139" s="31">
        <f t="shared" si="80"/>
        <v>0.33680555555555558</v>
      </c>
      <c r="I139" s="27" t="str">
        <f t="shared" si="81"/>
        <v>NO OT</v>
      </c>
    </row>
    <row r="140" spans="1:9" hidden="1" x14ac:dyDescent="0.25">
      <c r="A140" s="28" t="s">
        <v>109</v>
      </c>
      <c r="B140" s="29">
        <v>46131</v>
      </c>
      <c r="C140" s="33" t="s">
        <v>456</v>
      </c>
      <c r="D140" s="34"/>
      <c r="E140" s="34"/>
      <c r="F140" s="34"/>
      <c r="G140" s="33" t="str">
        <f t="shared" si="79"/>
        <v>SUNDAY</v>
      </c>
      <c r="H140" s="31">
        <f t="shared" si="80"/>
        <v>0</v>
      </c>
      <c r="I140" s="27" t="str">
        <f t="shared" si="81"/>
        <v>NO OT</v>
      </c>
    </row>
    <row r="141" spans="1:9" ht="12.75" hidden="1" customHeight="1" x14ac:dyDescent="0.25">
      <c r="A141" s="28" t="s">
        <v>109</v>
      </c>
      <c r="B141" s="29">
        <v>46132</v>
      </c>
      <c r="C141" s="32" t="s">
        <v>457</v>
      </c>
      <c r="D141" s="34" t="s">
        <v>168</v>
      </c>
      <c r="E141" s="34" t="s">
        <v>621</v>
      </c>
      <c r="F141" s="34" t="s">
        <v>355</v>
      </c>
      <c r="G141" s="28" t="str">
        <f t="shared" si="79"/>
        <v>LATE</v>
      </c>
      <c r="H141" s="31">
        <f t="shared" si="80"/>
        <v>0.33472222222222225</v>
      </c>
      <c r="I141" s="27" t="str">
        <f t="shared" si="81"/>
        <v>00:07</v>
      </c>
    </row>
    <row r="142" spans="1:9" ht="12.75" hidden="1" customHeight="1" x14ac:dyDescent="0.25">
      <c r="A142" s="28" t="s">
        <v>109</v>
      </c>
      <c r="B142" s="29">
        <v>46133</v>
      </c>
      <c r="C142" s="32" t="s">
        <v>458</v>
      </c>
      <c r="D142" s="34" t="s">
        <v>315</v>
      </c>
      <c r="E142" s="34" t="s">
        <v>346</v>
      </c>
      <c r="F142" s="34" t="s">
        <v>350</v>
      </c>
      <c r="G142" s="28" t="str">
        <f t="shared" si="79"/>
        <v>OK</v>
      </c>
      <c r="H142" s="31">
        <f t="shared" si="80"/>
        <v>0.33402777777777776</v>
      </c>
      <c r="I142" s="27" t="str">
        <f t="shared" si="81"/>
        <v>NO OT</v>
      </c>
    </row>
    <row r="143" spans="1:9" ht="12.75" hidden="1" customHeight="1" x14ac:dyDescent="0.25">
      <c r="A143" s="28" t="s">
        <v>109</v>
      </c>
      <c r="B143" s="29">
        <v>46134</v>
      </c>
      <c r="C143" s="32" t="s">
        <v>459</v>
      </c>
      <c r="D143" s="34" t="s">
        <v>272</v>
      </c>
      <c r="E143" s="34" t="s">
        <v>212</v>
      </c>
      <c r="F143" s="34" t="s">
        <v>252</v>
      </c>
      <c r="G143" s="28" t="str">
        <f t="shared" si="79"/>
        <v>OK</v>
      </c>
      <c r="H143" s="31">
        <f t="shared" si="80"/>
        <v>0.33680555555555547</v>
      </c>
      <c r="I143" s="27" t="str">
        <f t="shared" si="81"/>
        <v>NO OT</v>
      </c>
    </row>
    <row r="144" spans="1:9" ht="12.75" hidden="1" customHeight="1" x14ac:dyDescent="0.25">
      <c r="A144" s="28" t="s">
        <v>109</v>
      </c>
      <c r="B144" s="29">
        <v>46135</v>
      </c>
      <c r="C144" s="32" t="s">
        <v>460</v>
      </c>
      <c r="D144" s="34" t="s">
        <v>269</v>
      </c>
      <c r="E144" s="34" t="s">
        <v>251</v>
      </c>
      <c r="F144" s="34" t="s">
        <v>622</v>
      </c>
      <c r="G144" s="28" t="str">
        <f t="shared" si="79"/>
        <v>OK</v>
      </c>
      <c r="H144" s="31">
        <f t="shared" si="80"/>
        <v>0.34166666666666673</v>
      </c>
      <c r="I144" s="27" t="str">
        <f t="shared" si="81"/>
        <v>NO OT</v>
      </c>
    </row>
    <row r="145" spans="1:9" ht="12.75" hidden="1" customHeight="1" x14ac:dyDescent="0.25">
      <c r="A145" s="28" t="s">
        <v>109</v>
      </c>
      <c r="B145" s="29">
        <v>46136</v>
      </c>
      <c r="C145" s="32" t="s">
        <v>461</v>
      </c>
      <c r="D145" s="34" t="s">
        <v>222</v>
      </c>
      <c r="E145" s="34" t="s">
        <v>601</v>
      </c>
      <c r="F145" s="34" t="s">
        <v>612</v>
      </c>
      <c r="G145" s="28" t="str">
        <f t="shared" si="79"/>
        <v>OK</v>
      </c>
      <c r="H145" s="31">
        <f t="shared" si="80"/>
        <v>0.33819444444444435</v>
      </c>
      <c r="I145" s="27" t="str">
        <f t="shared" si="81"/>
        <v>NO OT</v>
      </c>
    </row>
    <row r="146" spans="1:9" hidden="1" x14ac:dyDescent="0.25">
      <c r="A146" s="28" t="s">
        <v>109</v>
      </c>
      <c r="B146" s="29">
        <v>46137</v>
      </c>
      <c r="C146" s="32" t="s">
        <v>463</v>
      </c>
      <c r="D146" s="34" t="s">
        <v>269</v>
      </c>
      <c r="E146" s="34" t="s">
        <v>333</v>
      </c>
      <c r="F146" s="34" t="s">
        <v>257</v>
      </c>
      <c r="G146" s="33" t="str">
        <f t="shared" si="79"/>
        <v>OK</v>
      </c>
      <c r="H146" s="31">
        <f t="shared" si="80"/>
        <v>0.3298611111111111</v>
      </c>
      <c r="I146" s="27" t="str">
        <f t="shared" si="81"/>
        <v>NO OT</v>
      </c>
    </row>
    <row r="147" spans="1:9" hidden="1" x14ac:dyDescent="0.25">
      <c r="A147" s="28" t="s">
        <v>109</v>
      </c>
      <c r="B147" s="29">
        <v>46138</v>
      </c>
      <c r="C147" s="33" t="s">
        <v>456</v>
      </c>
      <c r="D147" s="34"/>
      <c r="E147" s="34"/>
      <c r="F147" s="34"/>
      <c r="G147" s="33" t="str">
        <f t="shared" si="79"/>
        <v>SUNDAY</v>
      </c>
      <c r="H147" s="31">
        <f t="shared" si="80"/>
        <v>0</v>
      </c>
      <c r="I147" s="27" t="str">
        <f t="shared" si="81"/>
        <v>NO OT</v>
      </c>
    </row>
    <row r="148" spans="1:9" hidden="1" x14ac:dyDescent="0.25">
      <c r="A148" s="28" t="s">
        <v>109</v>
      </c>
      <c r="B148" s="29">
        <v>46139</v>
      </c>
      <c r="C148" s="32" t="s">
        <v>457</v>
      </c>
      <c r="D148" s="34" t="s">
        <v>260</v>
      </c>
      <c r="E148" s="34" t="s">
        <v>259</v>
      </c>
      <c r="F148" s="34" t="s">
        <v>252</v>
      </c>
      <c r="G148" s="28" t="str">
        <f t="shared" si="79"/>
        <v>OK</v>
      </c>
      <c r="H148" s="31">
        <f t="shared" si="80"/>
        <v>0.33680555555555558</v>
      </c>
      <c r="I148" s="27" t="str">
        <f t="shared" si="81"/>
        <v>NO OT</v>
      </c>
    </row>
    <row r="149" spans="1:9" ht="12.75" hidden="1" customHeight="1" x14ac:dyDescent="0.25">
      <c r="A149" s="28" t="s">
        <v>109</v>
      </c>
      <c r="B149" s="29">
        <v>46140</v>
      </c>
      <c r="C149" s="32" t="s">
        <v>458</v>
      </c>
      <c r="D149" s="34" t="s">
        <v>229</v>
      </c>
      <c r="E149" s="34" t="s">
        <v>12</v>
      </c>
      <c r="F149" s="34" t="s">
        <v>188</v>
      </c>
      <c r="G149" s="28" t="str">
        <f t="shared" si="79"/>
        <v>LATE</v>
      </c>
      <c r="H149" s="31">
        <f t="shared" si="80"/>
        <v>-0.45138888888888895</v>
      </c>
      <c r="I149" s="27" t="str">
        <f t="shared" si="81"/>
        <v>NO OT</v>
      </c>
    </row>
    <row r="150" spans="1:9" ht="12.75" hidden="1" customHeight="1" x14ac:dyDescent="0.25">
      <c r="A150" s="28" t="s">
        <v>109</v>
      </c>
      <c r="B150" s="29">
        <v>46141</v>
      </c>
      <c r="C150" s="32" t="s">
        <v>459</v>
      </c>
      <c r="D150" s="34" t="s">
        <v>72</v>
      </c>
      <c r="E150" s="34" t="s">
        <v>602</v>
      </c>
      <c r="F150" s="34" t="s">
        <v>623</v>
      </c>
      <c r="G150" s="28" t="str">
        <f t="shared" si="79"/>
        <v>LATE</v>
      </c>
      <c r="H150" s="31">
        <f t="shared" si="80"/>
        <v>0.23541666666666669</v>
      </c>
      <c r="I150" s="27" t="str">
        <f t="shared" si="81"/>
        <v>NO OT</v>
      </c>
    </row>
    <row r="151" spans="1:9" ht="12.75" hidden="1" customHeight="1" x14ac:dyDescent="0.25">
      <c r="A151" s="28" t="s">
        <v>109</v>
      </c>
      <c r="B151" s="29">
        <v>46142</v>
      </c>
      <c r="C151" s="32" t="s">
        <v>460</v>
      </c>
      <c r="D151" s="43" t="s">
        <v>142</v>
      </c>
      <c r="E151" s="43" t="s">
        <v>601</v>
      </c>
      <c r="F151" s="43" t="s">
        <v>617</v>
      </c>
      <c r="G151" s="28" t="str">
        <f t="shared" si="79"/>
        <v>LATE</v>
      </c>
      <c r="H151" s="31">
        <f t="shared" si="80"/>
        <v>0.31944444444444431</v>
      </c>
      <c r="I151" s="27" t="str">
        <f t="shared" si="81"/>
        <v>NO OT</v>
      </c>
    </row>
    <row r="152" spans="1:9" ht="12.75" customHeight="1" x14ac:dyDescent="0.25">
      <c r="A152" s="28" t="s">
        <v>110</v>
      </c>
      <c r="B152" s="29">
        <v>46113</v>
      </c>
      <c r="C152" s="32" t="s">
        <v>459</v>
      </c>
      <c r="D152" s="47">
        <v>0</v>
      </c>
      <c r="E152" s="47">
        <v>0</v>
      </c>
      <c r="F152" s="47">
        <v>0</v>
      </c>
      <c r="G152" s="33" t="str">
        <f t="shared" si="79"/>
        <v>ABSENT</v>
      </c>
      <c r="H152" s="31">
        <f t="shared" si="80"/>
        <v>0</v>
      </c>
      <c r="I152" s="27" t="str">
        <f t="shared" si="81"/>
        <v>NO OT</v>
      </c>
    </row>
    <row r="153" spans="1:9" ht="12.75" customHeight="1" x14ac:dyDescent="0.25">
      <c r="A153" s="28" t="s">
        <v>110</v>
      </c>
      <c r="B153" s="29">
        <v>46114</v>
      </c>
      <c r="C153" s="32" t="s">
        <v>460</v>
      </c>
      <c r="D153" s="47">
        <v>0</v>
      </c>
      <c r="E153" s="47">
        <v>0</v>
      </c>
      <c r="F153" s="47">
        <v>0</v>
      </c>
      <c r="G153" s="33" t="str">
        <f t="shared" si="79"/>
        <v>ABSENT</v>
      </c>
      <c r="H153" s="31">
        <f t="shared" si="80"/>
        <v>0</v>
      </c>
      <c r="I153" s="27" t="str">
        <f t="shared" si="81"/>
        <v>NO OT</v>
      </c>
    </row>
    <row r="154" spans="1:9" x14ac:dyDescent="0.25">
      <c r="A154" s="28" t="s">
        <v>110</v>
      </c>
      <c r="B154" s="29">
        <v>46115</v>
      </c>
      <c r="C154" s="32" t="s">
        <v>461</v>
      </c>
      <c r="D154" s="46" t="s">
        <v>360</v>
      </c>
      <c r="E154" s="46" t="s">
        <v>601</v>
      </c>
      <c r="F154" s="46" t="s">
        <v>622</v>
      </c>
      <c r="G154" s="28" t="str">
        <f t="shared" si="79"/>
        <v>OK</v>
      </c>
      <c r="H154" s="31">
        <f t="shared" si="80"/>
        <v>0.34166666666666651</v>
      </c>
      <c r="I154" s="27" t="str">
        <f t="shared" si="81"/>
        <v>NO OT</v>
      </c>
    </row>
    <row r="155" spans="1:9" ht="12.75" customHeight="1" x14ac:dyDescent="0.25">
      <c r="A155" s="28" t="s">
        <v>110</v>
      </c>
      <c r="B155" s="29">
        <v>46116</v>
      </c>
      <c r="C155" s="32" t="s">
        <v>463</v>
      </c>
      <c r="D155" s="46" t="s">
        <v>310</v>
      </c>
      <c r="E155" s="46" t="s">
        <v>318</v>
      </c>
      <c r="F155" s="46" t="s">
        <v>337</v>
      </c>
      <c r="G155" s="28" t="str">
        <f t="shared" si="79"/>
        <v>OK</v>
      </c>
      <c r="H155" s="31">
        <f t="shared" si="80"/>
        <v>0.30694444444444441</v>
      </c>
      <c r="I155" s="27" t="str">
        <f t="shared" si="81"/>
        <v>NO OT</v>
      </c>
    </row>
    <row r="156" spans="1:9" ht="12.75" customHeight="1" x14ac:dyDescent="0.25">
      <c r="A156" s="28" t="s">
        <v>110</v>
      </c>
      <c r="B156" s="29">
        <v>46117</v>
      </c>
      <c r="C156" s="33" t="s">
        <v>456</v>
      </c>
      <c r="D156" s="47">
        <v>0</v>
      </c>
      <c r="E156" s="47">
        <v>0</v>
      </c>
      <c r="F156" s="47">
        <v>0</v>
      </c>
      <c r="G156" s="33" t="str">
        <f t="shared" si="79"/>
        <v>SUNDAY</v>
      </c>
      <c r="H156" s="31">
        <f t="shared" si="80"/>
        <v>0</v>
      </c>
      <c r="I156" s="27" t="str">
        <f t="shared" si="81"/>
        <v>NO OT</v>
      </c>
    </row>
    <row r="157" spans="1:9" x14ac:dyDescent="0.25">
      <c r="A157" s="28" t="s">
        <v>110</v>
      </c>
      <c r="B157" s="29">
        <v>46118</v>
      </c>
      <c r="C157" s="32" t="s">
        <v>457</v>
      </c>
      <c r="D157" s="46" t="s">
        <v>54</v>
      </c>
      <c r="E157" s="46" t="s">
        <v>212</v>
      </c>
      <c r="F157" s="46" t="s">
        <v>375</v>
      </c>
      <c r="G157" s="28" t="str">
        <f t="shared" si="79"/>
        <v>LATE</v>
      </c>
      <c r="H157" s="31">
        <f t="shared" si="80"/>
        <v>0.31319444444444433</v>
      </c>
      <c r="I157" s="27" t="str">
        <f t="shared" si="81"/>
        <v>NO OT</v>
      </c>
    </row>
    <row r="158" spans="1:9" ht="12.75" customHeight="1" x14ac:dyDescent="0.25">
      <c r="A158" s="28" t="s">
        <v>110</v>
      </c>
      <c r="B158" s="29">
        <v>46119</v>
      </c>
      <c r="C158" s="32" t="s">
        <v>458</v>
      </c>
      <c r="D158" s="47">
        <v>0</v>
      </c>
      <c r="E158" s="47">
        <v>0</v>
      </c>
      <c r="F158" s="47">
        <v>0</v>
      </c>
      <c r="G158" s="33" t="str">
        <f t="shared" si="79"/>
        <v>ABSENT</v>
      </c>
      <c r="H158" s="31">
        <f t="shared" si="80"/>
        <v>0</v>
      </c>
      <c r="I158" s="27" t="str">
        <f t="shared" si="81"/>
        <v>NO OT</v>
      </c>
    </row>
    <row r="159" spans="1:9" ht="12.75" customHeight="1" x14ac:dyDescent="0.25">
      <c r="A159" s="28" t="s">
        <v>110</v>
      </c>
      <c r="B159" s="29">
        <v>46120</v>
      </c>
      <c r="C159" s="32" t="s">
        <v>459</v>
      </c>
      <c r="D159" s="47">
        <v>0</v>
      </c>
      <c r="E159" s="47">
        <v>0</v>
      </c>
      <c r="F159" s="47">
        <v>0</v>
      </c>
      <c r="G159" s="33" t="str">
        <f t="shared" si="79"/>
        <v>ABSENT</v>
      </c>
      <c r="H159" s="31">
        <f t="shared" si="80"/>
        <v>0</v>
      </c>
      <c r="I159" s="27" t="str">
        <f t="shared" si="81"/>
        <v>NO OT</v>
      </c>
    </row>
    <row r="160" spans="1:9" x14ac:dyDescent="0.25">
      <c r="A160" s="28" t="s">
        <v>110</v>
      </c>
      <c r="B160" s="29">
        <v>46121</v>
      </c>
      <c r="C160" s="32" t="s">
        <v>460</v>
      </c>
      <c r="D160" s="47">
        <v>0</v>
      </c>
      <c r="E160" s="47">
        <v>0</v>
      </c>
      <c r="F160" s="47">
        <v>0</v>
      </c>
      <c r="G160" s="33" t="str">
        <f t="shared" si="79"/>
        <v>ABSENT</v>
      </c>
      <c r="H160" s="31">
        <f t="shared" si="80"/>
        <v>0</v>
      </c>
      <c r="I160" s="27" t="str">
        <f t="shared" si="81"/>
        <v>NO OT</v>
      </c>
    </row>
    <row r="161" spans="1:9" ht="12.75" customHeight="1" x14ac:dyDescent="0.25">
      <c r="A161" s="28" t="s">
        <v>110</v>
      </c>
      <c r="B161" s="29">
        <v>46122</v>
      </c>
      <c r="C161" s="32" t="s">
        <v>461</v>
      </c>
      <c r="D161" s="47">
        <v>0</v>
      </c>
      <c r="E161" s="47">
        <v>0</v>
      </c>
      <c r="F161" s="47">
        <v>0</v>
      </c>
      <c r="G161" s="33" t="str">
        <f t="shared" si="79"/>
        <v>ABSENT</v>
      </c>
      <c r="H161" s="31">
        <f t="shared" si="80"/>
        <v>0</v>
      </c>
      <c r="I161" s="27" t="str">
        <f t="shared" si="81"/>
        <v>NO OT</v>
      </c>
    </row>
    <row r="162" spans="1:9" x14ac:dyDescent="0.25">
      <c r="A162" s="28" t="s">
        <v>110</v>
      </c>
      <c r="B162" s="29">
        <v>46123</v>
      </c>
      <c r="C162" s="32" t="s">
        <v>463</v>
      </c>
      <c r="D162" s="47">
        <v>0</v>
      </c>
      <c r="E162" s="47">
        <v>0</v>
      </c>
      <c r="F162" s="47">
        <v>0</v>
      </c>
      <c r="G162" s="33" t="str">
        <f t="shared" si="79"/>
        <v>ABSENT</v>
      </c>
      <c r="H162" s="31">
        <f t="shared" si="80"/>
        <v>0</v>
      </c>
      <c r="I162" s="27" t="str">
        <f t="shared" si="81"/>
        <v>NO OT</v>
      </c>
    </row>
    <row r="163" spans="1:9" ht="12.75" customHeight="1" x14ac:dyDescent="0.25">
      <c r="A163" s="28" t="s">
        <v>110</v>
      </c>
      <c r="B163" s="29">
        <v>46124</v>
      </c>
      <c r="C163" s="33" t="s">
        <v>456</v>
      </c>
      <c r="D163" s="47">
        <v>0</v>
      </c>
      <c r="E163" s="47">
        <v>0</v>
      </c>
      <c r="F163" s="47">
        <v>0</v>
      </c>
      <c r="G163" s="33" t="str">
        <f t="shared" si="79"/>
        <v>SUNDAY</v>
      </c>
      <c r="H163" s="31">
        <f t="shared" si="80"/>
        <v>0</v>
      </c>
      <c r="I163" s="27" t="str">
        <f t="shared" si="81"/>
        <v>NO OT</v>
      </c>
    </row>
    <row r="164" spans="1:9" x14ac:dyDescent="0.25">
      <c r="A164" s="28" t="s">
        <v>110</v>
      </c>
      <c r="B164" s="29">
        <v>46125</v>
      </c>
      <c r="C164" s="32" t="s">
        <v>457</v>
      </c>
      <c r="D164" s="47">
        <v>0</v>
      </c>
      <c r="E164" s="47">
        <v>0</v>
      </c>
      <c r="F164" s="47">
        <v>0</v>
      </c>
      <c r="G164" s="33" t="str">
        <f t="shared" si="79"/>
        <v>ABSENT</v>
      </c>
      <c r="H164" s="31">
        <f t="shared" si="80"/>
        <v>0</v>
      </c>
      <c r="I164" s="27" t="str">
        <f t="shared" si="81"/>
        <v>NO OT</v>
      </c>
    </row>
    <row r="165" spans="1:9" ht="12.75" customHeight="1" x14ac:dyDescent="0.25">
      <c r="A165" s="28" t="s">
        <v>110</v>
      </c>
      <c r="B165" s="29">
        <v>46126</v>
      </c>
      <c r="C165" s="32" t="s">
        <v>458</v>
      </c>
      <c r="D165" s="47">
        <v>0</v>
      </c>
      <c r="E165" s="47">
        <v>0</v>
      </c>
      <c r="F165" s="47">
        <v>0</v>
      </c>
      <c r="G165" s="33" t="str">
        <f t="shared" si="79"/>
        <v>ABSENT</v>
      </c>
      <c r="H165" s="31">
        <f t="shared" si="80"/>
        <v>0</v>
      </c>
      <c r="I165" s="27" t="str">
        <f t="shared" si="81"/>
        <v>NO OT</v>
      </c>
    </row>
    <row r="166" spans="1:9" x14ac:dyDescent="0.25">
      <c r="A166" s="28" t="s">
        <v>110</v>
      </c>
      <c r="B166" s="29">
        <v>46127</v>
      </c>
      <c r="C166" s="32" t="s">
        <v>459</v>
      </c>
      <c r="D166" s="46" t="s">
        <v>421</v>
      </c>
      <c r="E166" s="46" t="s">
        <v>223</v>
      </c>
      <c r="F166" s="46" t="s">
        <v>299</v>
      </c>
      <c r="G166" s="28" t="str">
        <f t="shared" si="79"/>
        <v>OK</v>
      </c>
      <c r="H166" s="31">
        <f t="shared" si="80"/>
        <v>0.35277777777777763</v>
      </c>
      <c r="I166" s="27" t="str">
        <f t="shared" si="81"/>
        <v>NO OT</v>
      </c>
    </row>
    <row r="167" spans="1:9" ht="12.75" customHeight="1" x14ac:dyDescent="0.25">
      <c r="A167" s="28" t="s">
        <v>110</v>
      </c>
      <c r="B167" s="29">
        <v>46128</v>
      </c>
      <c r="C167" s="32" t="s">
        <v>460</v>
      </c>
      <c r="D167" s="46" t="s">
        <v>224</v>
      </c>
      <c r="E167" s="46" t="s">
        <v>353</v>
      </c>
      <c r="F167" s="46" t="s">
        <v>221</v>
      </c>
      <c r="G167" s="33" t="str">
        <f t="shared" si="79"/>
        <v>LATE</v>
      </c>
      <c r="H167" s="31">
        <f t="shared" si="80"/>
        <v>0.33333333333333326</v>
      </c>
      <c r="I167" s="27" t="str">
        <f t="shared" si="81"/>
        <v>NO OT</v>
      </c>
    </row>
    <row r="168" spans="1:9" ht="12.75" customHeight="1" x14ac:dyDescent="0.25">
      <c r="A168" s="28" t="s">
        <v>110</v>
      </c>
      <c r="B168" s="29">
        <v>46129</v>
      </c>
      <c r="C168" s="32" t="s">
        <v>461</v>
      </c>
      <c r="D168" s="46" t="s">
        <v>364</v>
      </c>
      <c r="E168" s="46" t="s">
        <v>624</v>
      </c>
      <c r="F168" s="46" t="s">
        <v>625</v>
      </c>
      <c r="G168" s="28" t="str">
        <f t="shared" si="79"/>
        <v>OK</v>
      </c>
      <c r="H168" s="31">
        <f t="shared" si="80"/>
        <v>0.37430555555555545</v>
      </c>
      <c r="I168" s="27" t="str">
        <f t="shared" si="81"/>
        <v>00:12</v>
      </c>
    </row>
    <row r="169" spans="1:9" ht="12.75" customHeight="1" x14ac:dyDescent="0.25">
      <c r="A169" s="28" t="s">
        <v>110</v>
      </c>
      <c r="B169" s="29">
        <v>46130</v>
      </c>
      <c r="C169" s="32" t="s">
        <v>463</v>
      </c>
      <c r="D169" s="47">
        <v>0</v>
      </c>
      <c r="E169" s="47">
        <v>0</v>
      </c>
      <c r="F169" s="47">
        <v>0</v>
      </c>
      <c r="G169" s="33" t="str">
        <f t="shared" si="79"/>
        <v>ABSENT</v>
      </c>
      <c r="H169" s="31">
        <f t="shared" si="80"/>
        <v>0</v>
      </c>
      <c r="I169" s="27" t="str">
        <f t="shared" si="81"/>
        <v>NO OT</v>
      </c>
    </row>
    <row r="170" spans="1:9" x14ac:dyDescent="0.25">
      <c r="A170" s="28" t="s">
        <v>110</v>
      </c>
      <c r="B170" s="29">
        <v>46131</v>
      </c>
      <c r="C170" s="33" t="s">
        <v>456</v>
      </c>
      <c r="D170" s="47">
        <v>0</v>
      </c>
      <c r="E170" s="47">
        <v>0</v>
      </c>
      <c r="F170" s="47">
        <v>0</v>
      </c>
      <c r="G170" s="33" t="str">
        <f t="shared" si="79"/>
        <v>SUNDAY</v>
      </c>
      <c r="H170" s="31">
        <f t="shared" si="80"/>
        <v>0</v>
      </c>
      <c r="I170" s="27" t="str">
        <f t="shared" si="81"/>
        <v>NO OT</v>
      </c>
    </row>
    <row r="171" spans="1:9" x14ac:dyDescent="0.25">
      <c r="A171" s="28" t="s">
        <v>110</v>
      </c>
      <c r="B171" s="29">
        <v>46132</v>
      </c>
      <c r="C171" s="32" t="s">
        <v>457</v>
      </c>
      <c r="D171" s="46" t="s">
        <v>182</v>
      </c>
      <c r="E171" s="46" t="s">
        <v>626</v>
      </c>
      <c r="F171" s="46" t="s">
        <v>268</v>
      </c>
      <c r="G171" s="28" t="str">
        <f t="shared" si="79"/>
        <v>LATE</v>
      </c>
      <c r="H171" s="31">
        <f t="shared" si="80"/>
        <v>0.32013888888888886</v>
      </c>
      <c r="I171" s="27" t="str">
        <f t="shared" si="81"/>
        <v>NO OT</v>
      </c>
    </row>
    <row r="172" spans="1:9" x14ac:dyDescent="0.25">
      <c r="A172" s="28" t="s">
        <v>110</v>
      </c>
      <c r="B172" s="29">
        <v>46133</v>
      </c>
      <c r="C172" s="32" t="s">
        <v>458</v>
      </c>
      <c r="D172" s="46" t="s">
        <v>219</v>
      </c>
      <c r="E172" s="46" t="s">
        <v>193</v>
      </c>
      <c r="F172" s="46" t="s">
        <v>365</v>
      </c>
      <c r="G172" s="28" t="str">
        <f t="shared" ref="G172:G235" si="82">IF(C172="Sunday", "SUNDAY", IF(OR(D172=0, D172="", D172="0:0"), "ABSENT", IF(MOD(D172,1) &gt; TIME(9,45,0), "LATE", "OK")))</f>
        <v>OK</v>
      </c>
      <c r="H172" s="31">
        <f t="shared" ref="H172:H235" si="83">IF(OR(D172=0, D172="", E172=0, E172=""), 0, (E172-D172)-TIME(1,0,0))</f>
        <v>0.33541666666666664</v>
      </c>
      <c r="I172" s="27" t="str">
        <f t="shared" ref="I172:I235" si="84">IF(VALUE(E172) &gt; TIME(19,0,0), TEXT(VALUE(E172) - TIME(19,0,0), "hh:mm"), "NO OT")</f>
        <v>NO OT</v>
      </c>
    </row>
    <row r="173" spans="1:9" ht="12.75" customHeight="1" x14ac:dyDescent="0.25">
      <c r="A173" s="28" t="s">
        <v>110</v>
      </c>
      <c r="B173" s="29">
        <v>46134</v>
      </c>
      <c r="C173" s="32" t="s">
        <v>459</v>
      </c>
      <c r="D173" s="46" t="s">
        <v>492</v>
      </c>
      <c r="E173" s="46" t="s">
        <v>190</v>
      </c>
      <c r="F173" s="46" t="s">
        <v>273</v>
      </c>
      <c r="G173" s="28" t="str">
        <f t="shared" si="82"/>
        <v>LATE</v>
      </c>
      <c r="H173" s="31">
        <f t="shared" si="83"/>
        <v>0.30277777777777776</v>
      </c>
      <c r="I173" s="27" t="str">
        <f t="shared" si="84"/>
        <v>NO OT</v>
      </c>
    </row>
    <row r="174" spans="1:9" x14ac:dyDescent="0.25">
      <c r="A174" s="28" t="s">
        <v>110</v>
      </c>
      <c r="B174" s="29">
        <v>46135</v>
      </c>
      <c r="C174" s="32" t="s">
        <v>460</v>
      </c>
      <c r="D174" s="46" t="s">
        <v>165</v>
      </c>
      <c r="E174" s="46" t="s">
        <v>601</v>
      </c>
      <c r="F174" s="46" t="s">
        <v>226</v>
      </c>
      <c r="G174" s="33" t="str">
        <f t="shared" si="82"/>
        <v>LATE</v>
      </c>
      <c r="H174" s="31">
        <f t="shared" si="83"/>
        <v>0.31527777777777766</v>
      </c>
      <c r="I174" s="27" t="str">
        <f t="shared" si="84"/>
        <v>NO OT</v>
      </c>
    </row>
    <row r="175" spans="1:9" x14ac:dyDescent="0.25">
      <c r="A175" s="28" t="s">
        <v>110</v>
      </c>
      <c r="B175" s="29">
        <v>46136</v>
      </c>
      <c r="C175" s="32" t="s">
        <v>461</v>
      </c>
      <c r="D175" s="47">
        <v>0</v>
      </c>
      <c r="E175" s="47">
        <v>0</v>
      </c>
      <c r="F175" s="47">
        <v>0</v>
      </c>
      <c r="G175" s="33" t="str">
        <f t="shared" si="82"/>
        <v>ABSENT</v>
      </c>
      <c r="H175" s="31">
        <f t="shared" si="83"/>
        <v>0</v>
      </c>
      <c r="I175" s="27" t="str">
        <f t="shared" si="84"/>
        <v>NO OT</v>
      </c>
    </row>
    <row r="176" spans="1:9" ht="12.75" customHeight="1" x14ac:dyDescent="0.25">
      <c r="A176" s="28" t="s">
        <v>110</v>
      </c>
      <c r="B176" s="29">
        <v>46137</v>
      </c>
      <c r="C176" s="32" t="s">
        <v>463</v>
      </c>
      <c r="D176" s="47">
        <v>0</v>
      </c>
      <c r="E176" s="47">
        <v>0</v>
      </c>
      <c r="F176" s="47">
        <v>0</v>
      </c>
      <c r="G176" s="33" t="str">
        <f t="shared" si="82"/>
        <v>ABSENT</v>
      </c>
      <c r="H176" s="31">
        <f t="shared" si="83"/>
        <v>0</v>
      </c>
      <c r="I176" s="27" t="str">
        <f t="shared" si="84"/>
        <v>NO OT</v>
      </c>
    </row>
    <row r="177" spans="1:9" x14ac:dyDescent="0.25">
      <c r="A177" s="28" t="s">
        <v>110</v>
      </c>
      <c r="B177" s="29">
        <v>46138</v>
      </c>
      <c r="C177" s="33" t="s">
        <v>456</v>
      </c>
      <c r="D177" s="47">
        <v>0</v>
      </c>
      <c r="E177" s="47">
        <v>0</v>
      </c>
      <c r="F177" s="47">
        <v>0</v>
      </c>
      <c r="G177" s="33" t="str">
        <f t="shared" si="82"/>
        <v>SUNDAY</v>
      </c>
      <c r="H177" s="31">
        <f t="shared" si="83"/>
        <v>0</v>
      </c>
      <c r="I177" s="27" t="str">
        <f t="shared" si="84"/>
        <v>NO OT</v>
      </c>
    </row>
    <row r="178" spans="1:9" x14ac:dyDescent="0.25">
      <c r="A178" s="28" t="s">
        <v>110</v>
      </c>
      <c r="B178" s="29">
        <v>46139</v>
      </c>
      <c r="C178" s="32" t="s">
        <v>457</v>
      </c>
      <c r="D178" s="47">
        <v>0</v>
      </c>
      <c r="E178" s="47">
        <v>0</v>
      </c>
      <c r="F178" s="47">
        <v>0</v>
      </c>
      <c r="G178" s="33" t="str">
        <f t="shared" si="82"/>
        <v>ABSENT</v>
      </c>
      <c r="H178" s="31">
        <f t="shared" si="83"/>
        <v>0</v>
      </c>
      <c r="I178" s="27" t="str">
        <f t="shared" si="84"/>
        <v>NO OT</v>
      </c>
    </row>
    <row r="179" spans="1:9" x14ac:dyDescent="0.25">
      <c r="A179" s="28" t="s">
        <v>110</v>
      </c>
      <c r="B179" s="29">
        <v>46140</v>
      </c>
      <c r="C179" s="32" t="s">
        <v>458</v>
      </c>
      <c r="D179" s="47">
        <v>0</v>
      </c>
      <c r="E179" s="47">
        <v>0</v>
      </c>
      <c r="F179" s="47">
        <v>0</v>
      </c>
      <c r="G179" s="33" t="str">
        <f t="shared" si="82"/>
        <v>ABSENT</v>
      </c>
      <c r="H179" s="31">
        <f t="shared" si="83"/>
        <v>0</v>
      </c>
      <c r="I179" s="27" t="str">
        <f t="shared" si="84"/>
        <v>NO OT</v>
      </c>
    </row>
    <row r="180" spans="1:9" ht="12.75" customHeight="1" x14ac:dyDescent="0.25">
      <c r="A180" s="28" t="s">
        <v>110</v>
      </c>
      <c r="B180" s="29">
        <v>46141</v>
      </c>
      <c r="C180" s="32" t="s">
        <v>459</v>
      </c>
      <c r="D180" s="46" t="s">
        <v>186</v>
      </c>
      <c r="E180" s="46" t="s">
        <v>602</v>
      </c>
      <c r="F180" s="46" t="s">
        <v>293</v>
      </c>
      <c r="G180" s="28" t="str">
        <f t="shared" si="82"/>
        <v>LATE</v>
      </c>
      <c r="H180" s="31">
        <f t="shared" si="83"/>
        <v>0.3125</v>
      </c>
      <c r="I180" s="27" t="str">
        <f t="shared" si="84"/>
        <v>NO OT</v>
      </c>
    </row>
    <row r="181" spans="1:9" ht="12.75" customHeight="1" x14ac:dyDescent="0.25">
      <c r="A181" s="28" t="s">
        <v>110</v>
      </c>
      <c r="B181" s="29">
        <v>46142</v>
      </c>
      <c r="C181" s="32" t="s">
        <v>460</v>
      </c>
      <c r="D181" s="46" t="s">
        <v>330</v>
      </c>
      <c r="E181" s="46" t="s">
        <v>251</v>
      </c>
      <c r="F181" s="46" t="s">
        <v>306</v>
      </c>
      <c r="G181" s="33" t="str">
        <f t="shared" si="82"/>
        <v>LATE</v>
      </c>
      <c r="H181" s="31">
        <f t="shared" si="83"/>
        <v>0.32500000000000012</v>
      </c>
      <c r="I181" s="27" t="str">
        <f t="shared" si="84"/>
        <v>NO OT</v>
      </c>
    </row>
    <row r="182" spans="1:9" hidden="1" x14ac:dyDescent="0.25">
      <c r="A182" s="28" t="s">
        <v>111</v>
      </c>
      <c r="B182" s="29">
        <v>46113</v>
      </c>
      <c r="C182" s="32" t="s">
        <v>459</v>
      </c>
      <c r="D182" s="45" t="s">
        <v>126</v>
      </c>
      <c r="E182" s="45" t="s">
        <v>190</v>
      </c>
      <c r="F182" s="45" t="s">
        <v>380</v>
      </c>
      <c r="G182" s="28" t="str">
        <f t="shared" si="82"/>
        <v>LATE</v>
      </c>
      <c r="H182" s="31">
        <f t="shared" si="83"/>
        <v>0.28819444444444442</v>
      </c>
      <c r="I182" s="27" t="str">
        <f t="shared" si="84"/>
        <v>NO OT</v>
      </c>
    </row>
    <row r="183" spans="1:9" hidden="1" x14ac:dyDescent="0.25">
      <c r="A183" s="28" t="s">
        <v>111</v>
      </c>
      <c r="B183" s="29">
        <v>46114</v>
      </c>
      <c r="C183" s="32" t="s">
        <v>460</v>
      </c>
      <c r="D183" s="34"/>
      <c r="E183" s="34"/>
      <c r="F183" s="34"/>
      <c r="G183" s="33" t="str">
        <f t="shared" si="82"/>
        <v>ABSENT</v>
      </c>
      <c r="H183" s="31">
        <f t="shared" si="83"/>
        <v>0</v>
      </c>
      <c r="I183" s="27" t="str">
        <f t="shared" si="84"/>
        <v>NO OT</v>
      </c>
    </row>
    <row r="184" spans="1:9" hidden="1" x14ac:dyDescent="0.25">
      <c r="A184" s="28" t="s">
        <v>111</v>
      </c>
      <c r="B184" s="29">
        <v>46115</v>
      </c>
      <c r="C184" s="32" t="s">
        <v>461</v>
      </c>
      <c r="D184" s="34" t="s">
        <v>179</v>
      </c>
      <c r="E184" s="34" t="s">
        <v>346</v>
      </c>
      <c r="F184" s="34" t="s">
        <v>338</v>
      </c>
      <c r="G184" s="28" t="str">
        <f t="shared" si="82"/>
        <v>LATE</v>
      </c>
      <c r="H184" s="31">
        <f t="shared" si="83"/>
        <v>0.3</v>
      </c>
      <c r="I184" s="27" t="str">
        <f t="shared" si="84"/>
        <v>NO OT</v>
      </c>
    </row>
    <row r="185" spans="1:9" hidden="1" x14ac:dyDescent="0.25">
      <c r="A185" s="28" t="s">
        <v>111</v>
      </c>
      <c r="B185" s="29">
        <v>46116</v>
      </c>
      <c r="C185" s="32" t="s">
        <v>463</v>
      </c>
      <c r="D185" s="34"/>
      <c r="E185" s="34"/>
      <c r="F185" s="34"/>
      <c r="G185" s="33" t="str">
        <f t="shared" si="82"/>
        <v>ABSENT</v>
      </c>
      <c r="H185" s="31">
        <f t="shared" si="83"/>
        <v>0</v>
      </c>
      <c r="I185" s="27" t="str">
        <f t="shared" si="84"/>
        <v>NO OT</v>
      </c>
    </row>
    <row r="186" spans="1:9" hidden="1" x14ac:dyDescent="0.25">
      <c r="A186" s="28" t="s">
        <v>111</v>
      </c>
      <c r="B186" s="29">
        <v>46117</v>
      </c>
      <c r="C186" s="33" t="s">
        <v>456</v>
      </c>
      <c r="D186" s="34"/>
      <c r="E186" s="34"/>
      <c r="F186" s="34"/>
      <c r="G186" s="33" t="str">
        <f t="shared" si="82"/>
        <v>SUNDAY</v>
      </c>
      <c r="H186" s="31">
        <f t="shared" si="83"/>
        <v>0</v>
      </c>
      <c r="I186" s="27" t="str">
        <f t="shared" si="84"/>
        <v>NO OT</v>
      </c>
    </row>
    <row r="187" spans="1:9" hidden="1" x14ac:dyDescent="0.25">
      <c r="A187" s="28" t="s">
        <v>111</v>
      </c>
      <c r="B187" s="29">
        <v>46118</v>
      </c>
      <c r="C187" s="32" t="s">
        <v>457</v>
      </c>
      <c r="D187" s="34" t="s">
        <v>170</v>
      </c>
      <c r="E187" s="34" t="s">
        <v>389</v>
      </c>
      <c r="F187" s="34" t="s">
        <v>390</v>
      </c>
      <c r="G187" s="28" t="str">
        <f t="shared" si="82"/>
        <v>LATE</v>
      </c>
      <c r="H187" s="31">
        <f t="shared" si="83"/>
        <v>0.28541666666666654</v>
      </c>
      <c r="I187" s="27" t="str">
        <f t="shared" si="84"/>
        <v>NO OT</v>
      </c>
    </row>
    <row r="188" spans="1:9" hidden="1" x14ac:dyDescent="0.25">
      <c r="A188" s="28" t="s">
        <v>111</v>
      </c>
      <c r="B188" s="29">
        <v>46119</v>
      </c>
      <c r="C188" s="32" t="s">
        <v>458</v>
      </c>
      <c r="D188" s="34" t="s">
        <v>173</v>
      </c>
      <c r="E188" s="34" t="s">
        <v>214</v>
      </c>
      <c r="F188" s="34" t="s">
        <v>439</v>
      </c>
      <c r="G188" s="33" t="str">
        <f t="shared" si="82"/>
        <v>LATE</v>
      </c>
      <c r="H188" s="31">
        <f t="shared" si="83"/>
        <v>0.26805555555555544</v>
      </c>
      <c r="I188" s="27" t="str">
        <f t="shared" si="84"/>
        <v>NO OT</v>
      </c>
    </row>
    <row r="189" spans="1:9" ht="12.75" hidden="1" customHeight="1" x14ac:dyDescent="0.25">
      <c r="A189" s="28" t="s">
        <v>111</v>
      </c>
      <c r="B189" s="29">
        <v>46120</v>
      </c>
      <c r="C189" s="32" t="s">
        <v>459</v>
      </c>
      <c r="D189" s="34" t="s">
        <v>627</v>
      </c>
      <c r="E189" s="34" t="s">
        <v>346</v>
      </c>
      <c r="F189" s="34" t="s">
        <v>428</v>
      </c>
      <c r="G189" s="28" t="str">
        <f t="shared" si="82"/>
        <v>LATE</v>
      </c>
      <c r="H189" s="31">
        <f t="shared" si="83"/>
        <v>0.28194444444444444</v>
      </c>
      <c r="I189" s="27" t="str">
        <f t="shared" si="84"/>
        <v>NO OT</v>
      </c>
    </row>
    <row r="190" spans="1:9" ht="12.75" hidden="1" customHeight="1" x14ac:dyDescent="0.25">
      <c r="A190" s="28" t="s">
        <v>111</v>
      </c>
      <c r="B190" s="29">
        <v>46121</v>
      </c>
      <c r="C190" s="32" t="s">
        <v>460</v>
      </c>
      <c r="D190" s="34" t="s">
        <v>121</v>
      </c>
      <c r="E190" s="34" t="s">
        <v>220</v>
      </c>
      <c r="F190" s="34" t="s">
        <v>469</v>
      </c>
      <c r="G190" s="28" t="str">
        <f t="shared" si="82"/>
        <v>LATE</v>
      </c>
      <c r="H190" s="31">
        <f t="shared" si="83"/>
        <v>0.28263888888888888</v>
      </c>
      <c r="I190" s="27" t="str">
        <f t="shared" si="84"/>
        <v>NO OT</v>
      </c>
    </row>
    <row r="191" spans="1:9" hidden="1" x14ac:dyDescent="0.25">
      <c r="A191" s="28" t="s">
        <v>111</v>
      </c>
      <c r="B191" s="29">
        <v>46122</v>
      </c>
      <c r="C191" s="32" t="s">
        <v>461</v>
      </c>
      <c r="D191" s="34" t="s">
        <v>179</v>
      </c>
      <c r="E191" s="34" t="s">
        <v>333</v>
      </c>
      <c r="F191" s="34" t="s">
        <v>237</v>
      </c>
      <c r="G191" s="28" t="str">
        <f t="shared" si="82"/>
        <v>LATE</v>
      </c>
      <c r="H191" s="31">
        <f t="shared" si="83"/>
        <v>0.29166666666666669</v>
      </c>
      <c r="I191" s="27" t="str">
        <f t="shared" si="84"/>
        <v>NO OT</v>
      </c>
    </row>
    <row r="192" spans="1:9" ht="12.75" hidden="1" customHeight="1" x14ac:dyDescent="0.25">
      <c r="A192" s="28" t="s">
        <v>111</v>
      </c>
      <c r="B192" s="29">
        <v>46123</v>
      </c>
      <c r="C192" s="32" t="s">
        <v>463</v>
      </c>
      <c r="D192" s="34" t="s">
        <v>177</v>
      </c>
      <c r="E192" s="34" t="s">
        <v>225</v>
      </c>
      <c r="F192" s="34" t="s">
        <v>470</v>
      </c>
      <c r="G192" s="28" t="str">
        <f t="shared" si="82"/>
        <v>LATE</v>
      </c>
      <c r="H192" s="31">
        <f t="shared" si="83"/>
        <v>0.27569444444444446</v>
      </c>
      <c r="I192" s="27" t="str">
        <f t="shared" si="84"/>
        <v>NO OT</v>
      </c>
    </row>
    <row r="193" spans="1:9" ht="12.75" hidden="1" customHeight="1" x14ac:dyDescent="0.25">
      <c r="A193" s="28" t="s">
        <v>111</v>
      </c>
      <c r="B193" s="29">
        <v>46124</v>
      </c>
      <c r="C193" s="33" t="s">
        <v>456</v>
      </c>
      <c r="D193" s="34"/>
      <c r="E193" s="34"/>
      <c r="F193" s="34"/>
      <c r="G193" s="33" t="str">
        <f t="shared" si="82"/>
        <v>SUNDAY</v>
      </c>
      <c r="H193" s="31">
        <f t="shared" si="83"/>
        <v>0</v>
      </c>
      <c r="I193" s="27" t="str">
        <f t="shared" si="84"/>
        <v>NO OT</v>
      </c>
    </row>
    <row r="194" spans="1:9" ht="12.75" hidden="1" customHeight="1" x14ac:dyDescent="0.25">
      <c r="A194" s="28" t="s">
        <v>111</v>
      </c>
      <c r="B194" s="29">
        <v>46125</v>
      </c>
      <c r="C194" s="32" t="s">
        <v>457</v>
      </c>
      <c r="D194" s="34" t="s">
        <v>389</v>
      </c>
      <c r="E194" s="34" t="s">
        <v>12</v>
      </c>
      <c r="F194" s="34" t="s">
        <v>188</v>
      </c>
      <c r="G194" s="28" t="str">
        <f t="shared" si="82"/>
        <v>LATE</v>
      </c>
      <c r="H194" s="31">
        <f t="shared" si="83"/>
        <v>-0.81874999999999987</v>
      </c>
      <c r="I194" s="27" t="str">
        <f t="shared" si="84"/>
        <v>NO OT</v>
      </c>
    </row>
    <row r="195" spans="1:9" hidden="1" x14ac:dyDescent="0.25">
      <c r="A195" s="28" t="s">
        <v>111</v>
      </c>
      <c r="B195" s="29">
        <v>46126</v>
      </c>
      <c r="C195" s="32" t="s">
        <v>458</v>
      </c>
      <c r="D195" s="34" t="s">
        <v>628</v>
      </c>
      <c r="E195" s="34" t="s">
        <v>389</v>
      </c>
      <c r="F195" s="34" t="s">
        <v>435</v>
      </c>
      <c r="G195" s="33" t="str">
        <f t="shared" si="82"/>
        <v>LATE</v>
      </c>
      <c r="H195" s="31">
        <f t="shared" si="83"/>
        <v>0.2715277777777777</v>
      </c>
      <c r="I195" s="27" t="str">
        <f t="shared" si="84"/>
        <v>NO OT</v>
      </c>
    </row>
    <row r="196" spans="1:9" ht="12.75" hidden="1" customHeight="1" x14ac:dyDescent="0.25">
      <c r="A196" s="28" t="s">
        <v>111</v>
      </c>
      <c r="B196" s="29">
        <v>46127</v>
      </c>
      <c r="C196" s="32" t="s">
        <v>459</v>
      </c>
      <c r="D196" s="34" t="s">
        <v>629</v>
      </c>
      <c r="E196" s="34" t="s">
        <v>12</v>
      </c>
      <c r="F196" s="34" t="s">
        <v>188</v>
      </c>
      <c r="G196" s="28" t="str">
        <f t="shared" si="82"/>
        <v>LATE</v>
      </c>
      <c r="H196" s="31">
        <f t="shared" si="83"/>
        <v>-0.51111111111111118</v>
      </c>
      <c r="I196" s="27" t="str">
        <f t="shared" si="84"/>
        <v>NO OT</v>
      </c>
    </row>
    <row r="197" spans="1:9" ht="12.75" hidden="1" customHeight="1" x14ac:dyDescent="0.25">
      <c r="A197" s="28" t="s">
        <v>111</v>
      </c>
      <c r="B197" s="29">
        <v>46128</v>
      </c>
      <c r="C197" s="32" t="s">
        <v>460</v>
      </c>
      <c r="D197" s="34" t="s">
        <v>170</v>
      </c>
      <c r="E197" s="34" t="s">
        <v>203</v>
      </c>
      <c r="F197" s="34" t="s">
        <v>391</v>
      </c>
      <c r="G197" s="28" t="str">
        <f t="shared" si="82"/>
        <v>LATE</v>
      </c>
      <c r="H197" s="31">
        <f t="shared" si="83"/>
        <v>0.28680555555555554</v>
      </c>
      <c r="I197" s="27" t="str">
        <f t="shared" si="84"/>
        <v>NO OT</v>
      </c>
    </row>
    <row r="198" spans="1:9" ht="12.75" hidden="1" customHeight="1" x14ac:dyDescent="0.25">
      <c r="A198" s="28" t="s">
        <v>111</v>
      </c>
      <c r="B198" s="29">
        <v>46129</v>
      </c>
      <c r="C198" s="32" t="s">
        <v>461</v>
      </c>
      <c r="D198" s="34" t="s">
        <v>217</v>
      </c>
      <c r="E198" s="34" t="s">
        <v>12</v>
      </c>
      <c r="F198" s="34" t="s">
        <v>188</v>
      </c>
      <c r="G198" s="28" t="str">
        <f t="shared" si="82"/>
        <v>LATE</v>
      </c>
      <c r="H198" s="31">
        <f t="shared" si="83"/>
        <v>-0.81805555555555554</v>
      </c>
      <c r="I198" s="27" t="str">
        <f t="shared" si="84"/>
        <v>NO OT</v>
      </c>
    </row>
    <row r="199" spans="1:9" ht="12.75" hidden="1" customHeight="1" x14ac:dyDescent="0.25">
      <c r="A199" s="28" t="s">
        <v>111</v>
      </c>
      <c r="B199" s="29">
        <v>46130</v>
      </c>
      <c r="C199" s="32" t="s">
        <v>463</v>
      </c>
      <c r="D199" s="34" t="s">
        <v>163</v>
      </c>
      <c r="E199" s="34" t="s">
        <v>630</v>
      </c>
      <c r="F199" s="34" t="s">
        <v>281</v>
      </c>
      <c r="G199" s="28" t="str">
        <f t="shared" si="82"/>
        <v>LATE</v>
      </c>
      <c r="H199" s="31">
        <f t="shared" si="83"/>
        <v>0.29305555555555562</v>
      </c>
      <c r="I199" s="27" t="str">
        <f t="shared" si="84"/>
        <v>NO OT</v>
      </c>
    </row>
    <row r="200" spans="1:9" ht="12.75" hidden="1" customHeight="1" x14ac:dyDescent="0.25">
      <c r="A200" s="28" t="s">
        <v>111</v>
      </c>
      <c r="B200" s="29">
        <v>46131</v>
      </c>
      <c r="C200" s="33" t="s">
        <v>456</v>
      </c>
      <c r="D200" s="34"/>
      <c r="E200" s="34"/>
      <c r="F200" s="34"/>
      <c r="G200" s="33" t="str">
        <f t="shared" si="82"/>
        <v>SUNDAY</v>
      </c>
      <c r="H200" s="31">
        <f t="shared" si="83"/>
        <v>0</v>
      </c>
      <c r="I200" s="27" t="str">
        <f t="shared" si="84"/>
        <v>NO OT</v>
      </c>
    </row>
    <row r="201" spans="1:9" hidden="1" x14ac:dyDescent="0.25">
      <c r="A201" s="28" t="s">
        <v>111</v>
      </c>
      <c r="B201" s="29">
        <v>46132</v>
      </c>
      <c r="C201" s="32" t="s">
        <v>457</v>
      </c>
      <c r="D201" s="34" t="s">
        <v>170</v>
      </c>
      <c r="E201" s="34" t="s">
        <v>336</v>
      </c>
      <c r="F201" s="34" t="s">
        <v>481</v>
      </c>
      <c r="G201" s="28" t="str">
        <f t="shared" si="82"/>
        <v>LATE</v>
      </c>
      <c r="H201" s="31">
        <f t="shared" si="83"/>
        <v>0.26180555555555551</v>
      </c>
      <c r="I201" s="27" t="str">
        <f t="shared" si="84"/>
        <v>NO OT</v>
      </c>
    </row>
    <row r="202" spans="1:9" hidden="1" x14ac:dyDescent="0.25">
      <c r="A202" s="28" t="s">
        <v>111</v>
      </c>
      <c r="B202" s="29">
        <v>46133</v>
      </c>
      <c r="C202" s="32" t="s">
        <v>458</v>
      </c>
      <c r="D202" s="34" t="s">
        <v>547</v>
      </c>
      <c r="E202" s="34" t="s">
        <v>349</v>
      </c>
      <c r="F202" s="34" t="s">
        <v>391</v>
      </c>
      <c r="G202" s="33" t="str">
        <f t="shared" si="82"/>
        <v>LATE</v>
      </c>
      <c r="H202" s="31">
        <f t="shared" si="83"/>
        <v>0.28680555555555554</v>
      </c>
      <c r="I202" s="27" t="str">
        <f t="shared" si="84"/>
        <v>NO OT</v>
      </c>
    </row>
    <row r="203" spans="1:9" ht="12.75" hidden="1" customHeight="1" x14ac:dyDescent="0.25">
      <c r="A203" s="28" t="s">
        <v>111</v>
      </c>
      <c r="B203" s="29">
        <v>46134</v>
      </c>
      <c r="C203" s="32" t="s">
        <v>459</v>
      </c>
      <c r="D203" s="34" t="s">
        <v>217</v>
      </c>
      <c r="E203" s="34" t="s">
        <v>12</v>
      </c>
      <c r="F203" s="34" t="s">
        <v>188</v>
      </c>
      <c r="G203" s="28" t="str">
        <f t="shared" si="82"/>
        <v>LATE</v>
      </c>
      <c r="H203" s="31">
        <f t="shared" si="83"/>
        <v>-0.81805555555555554</v>
      </c>
      <c r="I203" s="27" t="str">
        <f t="shared" si="84"/>
        <v>NO OT</v>
      </c>
    </row>
    <row r="204" spans="1:9" ht="12.75" hidden="1" customHeight="1" x14ac:dyDescent="0.25">
      <c r="A204" s="28" t="s">
        <v>111</v>
      </c>
      <c r="B204" s="29">
        <v>46135</v>
      </c>
      <c r="C204" s="32" t="s">
        <v>460</v>
      </c>
      <c r="D204" s="34" t="s">
        <v>129</v>
      </c>
      <c r="E204" s="34" t="s">
        <v>602</v>
      </c>
      <c r="F204" s="34" t="s">
        <v>631</v>
      </c>
      <c r="G204" s="28" t="str">
        <f t="shared" si="82"/>
        <v>LATE</v>
      </c>
      <c r="H204" s="31">
        <f t="shared" si="83"/>
        <v>0.29583333333333328</v>
      </c>
      <c r="I204" s="27" t="str">
        <f t="shared" si="84"/>
        <v>NO OT</v>
      </c>
    </row>
    <row r="205" spans="1:9" hidden="1" x14ac:dyDescent="0.25">
      <c r="A205" s="28" t="s">
        <v>111</v>
      </c>
      <c r="B205" s="29">
        <v>46136</v>
      </c>
      <c r="C205" s="32" t="s">
        <v>461</v>
      </c>
      <c r="D205" s="34" t="s">
        <v>179</v>
      </c>
      <c r="E205" s="34" t="s">
        <v>249</v>
      </c>
      <c r="F205" s="34" t="s">
        <v>273</v>
      </c>
      <c r="G205" s="28" t="str">
        <f t="shared" si="82"/>
        <v>LATE</v>
      </c>
      <c r="H205" s="31">
        <f t="shared" si="83"/>
        <v>0.30277777777777776</v>
      </c>
      <c r="I205" s="27" t="str">
        <f t="shared" si="84"/>
        <v>NO OT</v>
      </c>
    </row>
    <row r="206" spans="1:9" ht="12.75" hidden="1" customHeight="1" x14ac:dyDescent="0.25">
      <c r="A206" s="28" t="s">
        <v>111</v>
      </c>
      <c r="B206" s="29">
        <v>46137</v>
      </c>
      <c r="C206" s="32" t="s">
        <v>463</v>
      </c>
      <c r="D206" s="34" t="s">
        <v>632</v>
      </c>
      <c r="E206" s="34" t="s">
        <v>197</v>
      </c>
      <c r="F206" s="34" t="s">
        <v>633</v>
      </c>
      <c r="G206" s="28" t="str">
        <f t="shared" si="82"/>
        <v>LATE</v>
      </c>
      <c r="H206" s="31">
        <f t="shared" si="83"/>
        <v>0.26249999999999996</v>
      </c>
      <c r="I206" s="27" t="str">
        <f t="shared" si="84"/>
        <v>NO OT</v>
      </c>
    </row>
    <row r="207" spans="1:9" ht="12.75" hidden="1" customHeight="1" x14ac:dyDescent="0.25">
      <c r="A207" s="28" t="s">
        <v>111</v>
      </c>
      <c r="B207" s="29">
        <v>46138</v>
      </c>
      <c r="C207" s="33" t="s">
        <v>456</v>
      </c>
      <c r="D207" s="34"/>
      <c r="E207" s="34"/>
      <c r="F207" s="34"/>
      <c r="G207" s="33" t="str">
        <f t="shared" si="82"/>
        <v>SUNDAY</v>
      </c>
      <c r="H207" s="31">
        <f t="shared" si="83"/>
        <v>0</v>
      </c>
      <c r="I207" s="27" t="str">
        <f t="shared" si="84"/>
        <v>NO OT</v>
      </c>
    </row>
    <row r="208" spans="1:9" hidden="1" x14ac:dyDescent="0.25">
      <c r="A208" s="28" t="s">
        <v>111</v>
      </c>
      <c r="B208" s="29">
        <v>46139</v>
      </c>
      <c r="C208" s="32" t="s">
        <v>457</v>
      </c>
      <c r="D208" s="34"/>
      <c r="E208" s="34"/>
      <c r="F208" s="34"/>
      <c r="G208" s="33" t="str">
        <f t="shared" si="82"/>
        <v>ABSENT</v>
      </c>
      <c r="H208" s="31">
        <f t="shared" si="83"/>
        <v>0</v>
      </c>
      <c r="I208" s="27" t="str">
        <f t="shared" si="84"/>
        <v>NO OT</v>
      </c>
    </row>
    <row r="209" spans="1:9" hidden="1" x14ac:dyDescent="0.25">
      <c r="A209" s="28" t="s">
        <v>111</v>
      </c>
      <c r="B209" s="29">
        <v>46140</v>
      </c>
      <c r="C209" s="32" t="s">
        <v>458</v>
      </c>
      <c r="D209" s="34" t="s">
        <v>135</v>
      </c>
      <c r="E209" s="34" t="s">
        <v>212</v>
      </c>
      <c r="F209" s="34" t="s">
        <v>281</v>
      </c>
      <c r="G209" s="33" t="str">
        <f t="shared" si="82"/>
        <v>LATE</v>
      </c>
      <c r="H209" s="31">
        <f t="shared" si="83"/>
        <v>0.29305555555555551</v>
      </c>
      <c r="I209" s="27" t="str">
        <f t="shared" si="84"/>
        <v>NO OT</v>
      </c>
    </row>
    <row r="210" spans="1:9" hidden="1" x14ac:dyDescent="0.25">
      <c r="A210" s="28" t="s">
        <v>111</v>
      </c>
      <c r="B210" s="29">
        <v>46141</v>
      </c>
      <c r="C210" s="32" t="s">
        <v>459</v>
      </c>
      <c r="D210" s="34" t="s">
        <v>602</v>
      </c>
      <c r="E210" s="34" t="s">
        <v>12</v>
      </c>
      <c r="F210" s="34" t="s">
        <v>188</v>
      </c>
      <c r="G210" s="28" t="str">
        <f t="shared" si="82"/>
        <v>LATE</v>
      </c>
      <c r="H210" s="31">
        <f t="shared" si="83"/>
        <v>-0.82291666666666663</v>
      </c>
      <c r="I210" s="27" t="str">
        <f t="shared" si="84"/>
        <v>NO OT</v>
      </c>
    </row>
    <row r="211" spans="1:9" ht="12.75" hidden="1" customHeight="1" x14ac:dyDescent="0.25">
      <c r="A211" s="28" t="s">
        <v>111</v>
      </c>
      <c r="B211" s="29">
        <v>46142</v>
      </c>
      <c r="C211" s="32" t="s">
        <v>460</v>
      </c>
      <c r="D211" s="34" t="s">
        <v>136</v>
      </c>
      <c r="E211" s="34" t="s">
        <v>220</v>
      </c>
      <c r="F211" s="34" t="s">
        <v>370</v>
      </c>
      <c r="G211" s="28" t="str">
        <f t="shared" si="82"/>
        <v>LATE</v>
      </c>
      <c r="H211" s="31">
        <f t="shared" si="83"/>
        <v>0.2944444444444444</v>
      </c>
      <c r="I211" s="27" t="str">
        <f t="shared" si="84"/>
        <v>NO OT</v>
      </c>
    </row>
    <row r="212" spans="1:9" ht="12.75" hidden="1" customHeight="1" x14ac:dyDescent="0.25">
      <c r="A212" s="28" t="s">
        <v>551</v>
      </c>
      <c r="B212" s="29">
        <v>46113</v>
      </c>
      <c r="C212" s="32" t="s">
        <v>459</v>
      </c>
      <c r="D212" s="34" t="s">
        <v>422</v>
      </c>
      <c r="E212" s="34" t="s">
        <v>190</v>
      </c>
      <c r="F212" s="34" t="s">
        <v>448</v>
      </c>
      <c r="G212" s="28" t="str">
        <f t="shared" si="82"/>
        <v>OK</v>
      </c>
      <c r="H212" s="31">
        <f t="shared" si="83"/>
        <v>0.36041666666666672</v>
      </c>
      <c r="I212" s="27" t="str">
        <f t="shared" si="84"/>
        <v>NO OT</v>
      </c>
    </row>
    <row r="213" spans="1:9" ht="12.75" hidden="1" customHeight="1" x14ac:dyDescent="0.25">
      <c r="A213" s="28" t="s">
        <v>551</v>
      </c>
      <c r="B213" s="29">
        <v>46114</v>
      </c>
      <c r="C213" s="32" t="s">
        <v>460</v>
      </c>
      <c r="D213" s="34" t="s">
        <v>568</v>
      </c>
      <c r="E213" s="34" t="s">
        <v>634</v>
      </c>
      <c r="F213" s="34" t="s">
        <v>401</v>
      </c>
      <c r="G213" s="28" t="str">
        <f t="shared" si="82"/>
        <v>OK</v>
      </c>
      <c r="H213" s="31">
        <f t="shared" si="83"/>
        <v>0.25624999999999998</v>
      </c>
      <c r="I213" s="27" t="str">
        <f t="shared" si="84"/>
        <v>NO OT</v>
      </c>
    </row>
    <row r="214" spans="1:9" ht="12.75" hidden="1" customHeight="1" x14ac:dyDescent="0.25">
      <c r="A214" s="28" t="s">
        <v>551</v>
      </c>
      <c r="B214" s="29">
        <v>46115</v>
      </c>
      <c r="C214" s="32" t="s">
        <v>461</v>
      </c>
      <c r="D214" s="34"/>
      <c r="E214" s="34"/>
      <c r="F214" s="34"/>
      <c r="G214" s="33" t="str">
        <f t="shared" si="82"/>
        <v>ABSENT</v>
      </c>
      <c r="H214" s="31">
        <f t="shared" si="83"/>
        <v>0</v>
      </c>
      <c r="I214" s="27" t="str">
        <f t="shared" si="84"/>
        <v>NO OT</v>
      </c>
    </row>
    <row r="215" spans="1:9" ht="12.75" hidden="1" customHeight="1" x14ac:dyDescent="0.25">
      <c r="A215" s="28" t="s">
        <v>551</v>
      </c>
      <c r="B215" s="29">
        <v>46116</v>
      </c>
      <c r="C215" s="32" t="s">
        <v>463</v>
      </c>
      <c r="D215" s="34" t="s">
        <v>403</v>
      </c>
      <c r="E215" s="34" t="s">
        <v>190</v>
      </c>
      <c r="F215" s="34" t="s">
        <v>520</v>
      </c>
      <c r="G215" s="28" t="str">
        <f t="shared" si="82"/>
        <v>OK</v>
      </c>
      <c r="H215" s="31">
        <f t="shared" si="83"/>
        <v>0.34513888888888888</v>
      </c>
      <c r="I215" s="27" t="str">
        <f t="shared" si="84"/>
        <v>NO OT</v>
      </c>
    </row>
    <row r="216" spans="1:9" hidden="1" x14ac:dyDescent="0.25">
      <c r="A216" s="28" t="s">
        <v>551</v>
      </c>
      <c r="B216" s="29">
        <v>46117</v>
      </c>
      <c r="C216" s="33" t="s">
        <v>456</v>
      </c>
      <c r="D216" s="34"/>
      <c r="E216" s="34"/>
      <c r="F216" s="34"/>
      <c r="G216" s="33" t="str">
        <f t="shared" si="82"/>
        <v>SUNDAY</v>
      </c>
      <c r="H216" s="31">
        <f t="shared" si="83"/>
        <v>0</v>
      </c>
      <c r="I216" s="27" t="str">
        <f t="shared" si="84"/>
        <v>NO OT</v>
      </c>
    </row>
    <row r="217" spans="1:9" ht="12.75" hidden="1" customHeight="1" x14ac:dyDescent="0.25">
      <c r="A217" s="28" t="s">
        <v>551</v>
      </c>
      <c r="B217" s="29">
        <v>46118</v>
      </c>
      <c r="C217" s="32" t="s">
        <v>457</v>
      </c>
      <c r="D217" s="34" t="s">
        <v>635</v>
      </c>
      <c r="E217" s="34" t="s">
        <v>207</v>
      </c>
      <c r="F217" s="34" t="s">
        <v>407</v>
      </c>
      <c r="G217" s="28" t="str">
        <f t="shared" si="82"/>
        <v>OK</v>
      </c>
      <c r="H217" s="31">
        <f t="shared" si="83"/>
        <v>0.3618055555555556</v>
      </c>
      <c r="I217" s="27" t="str">
        <f t="shared" si="84"/>
        <v>NO OT</v>
      </c>
    </row>
    <row r="218" spans="1:9" ht="12.75" hidden="1" customHeight="1" x14ac:dyDescent="0.25">
      <c r="A218" s="28" t="s">
        <v>551</v>
      </c>
      <c r="B218" s="29">
        <v>46119</v>
      </c>
      <c r="C218" s="32" t="s">
        <v>458</v>
      </c>
      <c r="D218" s="34" t="s">
        <v>636</v>
      </c>
      <c r="E218" s="34" t="s">
        <v>207</v>
      </c>
      <c r="F218" s="34" t="s">
        <v>637</v>
      </c>
      <c r="G218" s="28" t="str">
        <f t="shared" si="82"/>
        <v>OK</v>
      </c>
      <c r="H218" s="31">
        <f t="shared" si="83"/>
        <v>0.36319444444444449</v>
      </c>
      <c r="I218" s="27" t="str">
        <f t="shared" si="84"/>
        <v>NO OT</v>
      </c>
    </row>
    <row r="219" spans="1:9" hidden="1" x14ac:dyDescent="0.25">
      <c r="A219" s="28" t="s">
        <v>551</v>
      </c>
      <c r="B219" s="29">
        <v>46120</v>
      </c>
      <c r="C219" s="32" t="s">
        <v>459</v>
      </c>
      <c r="D219" s="34" t="s">
        <v>559</v>
      </c>
      <c r="E219" s="34" t="s">
        <v>254</v>
      </c>
      <c r="F219" s="34" t="s">
        <v>638</v>
      </c>
      <c r="G219" s="28" t="str">
        <f t="shared" si="82"/>
        <v>OK</v>
      </c>
      <c r="H219" s="31">
        <f t="shared" si="83"/>
        <v>0.36666666666666664</v>
      </c>
      <c r="I219" s="27" t="str">
        <f t="shared" si="84"/>
        <v>NO OT</v>
      </c>
    </row>
    <row r="220" spans="1:9" ht="12.75" hidden="1" customHeight="1" x14ac:dyDescent="0.25">
      <c r="A220" s="28" t="s">
        <v>551</v>
      </c>
      <c r="B220" s="29">
        <v>46121</v>
      </c>
      <c r="C220" s="32" t="s">
        <v>460</v>
      </c>
      <c r="D220" s="34" t="s">
        <v>639</v>
      </c>
      <c r="E220" s="34" t="s">
        <v>353</v>
      </c>
      <c r="F220" s="34" t="s">
        <v>640</v>
      </c>
      <c r="G220" s="28" t="str">
        <f t="shared" si="82"/>
        <v>OK</v>
      </c>
      <c r="H220" s="31">
        <f t="shared" si="83"/>
        <v>0.38263888888888886</v>
      </c>
      <c r="I220" s="27" t="str">
        <f t="shared" si="84"/>
        <v>NO OT</v>
      </c>
    </row>
    <row r="221" spans="1:9" ht="12.75" hidden="1" customHeight="1" x14ac:dyDescent="0.25">
      <c r="A221" s="28" t="s">
        <v>551</v>
      </c>
      <c r="B221" s="29">
        <v>46122</v>
      </c>
      <c r="C221" s="32" t="s">
        <v>461</v>
      </c>
      <c r="D221" s="34" t="s">
        <v>636</v>
      </c>
      <c r="E221" s="34" t="s">
        <v>641</v>
      </c>
      <c r="F221" s="34" t="s">
        <v>420</v>
      </c>
      <c r="G221" s="28" t="str">
        <f t="shared" si="82"/>
        <v>OK</v>
      </c>
      <c r="H221" s="31">
        <f t="shared" si="83"/>
        <v>0.34722222222222232</v>
      </c>
      <c r="I221" s="27" t="str">
        <f t="shared" si="84"/>
        <v>NO OT</v>
      </c>
    </row>
    <row r="222" spans="1:9" hidden="1" x14ac:dyDescent="0.25">
      <c r="A222" s="28" t="s">
        <v>551</v>
      </c>
      <c r="B222" s="29">
        <v>46123</v>
      </c>
      <c r="C222" s="32" t="s">
        <v>463</v>
      </c>
      <c r="D222" s="34" t="s">
        <v>295</v>
      </c>
      <c r="E222" s="34" t="s">
        <v>270</v>
      </c>
      <c r="F222" s="34" t="s">
        <v>642</v>
      </c>
      <c r="G222" s="28" t="str">
        <f t="shared" si="82"/>
        <v>OK</v>
      </c>
      <c r="H222" s="31">
        <f t="shared" si="83"/>
        <v>0.35694444444444451</v>
      </c>
      <c r="I222" s="27" t="str">
        <f t="shared" si="84"/>
        <v>NO OT</v>
      </c>
    </row>
    <row r="223" spans="1:9" hidden="1" x14ac:dyDescent="0.25">
      <c r="A223" s="28" t="s">
        <v>551</v>
      </c>
      <c r="B223" s="29">
        <v>46124</v>
      </c>
      <c r="C223" s="33" t="s">
        <v>456</v>
      </c>
      <c r="D223" s="34"/>
      <c r="E223" s="34"/>
      <c r="F223" s="34"/>
      <c r="G223" s="33" t="str">
        <f t="shared" si="82"/>
        <v>SUNDAY</v>
      </c>
      <c r="H223" s="31">
        <f t="shared" si="83"/>
        <v>0</v>
      </c>
      <c r="I223" s="27" t="str">
        <f t="shared" si="84"/>
        <v>NO OT</v>
      </c>
    </row>
    <row r="224" spans="1:9" ht="12.75" hidden="1" customHeight="1" x14ac:dyDescent="0.25">
      <c r="A224" s="28" t="s">
        <v>551</v>
      </c>
      <c r="B224" s="29">
        <v>46125</v>
      </c>
      <c r="C224" s="32" t="s">
        <v>457</v>
      </c>
      <c r="D224" s="34" t="s">
        <v>643</v>
      </c>
      <c r="E224" s="34" t="s">
        <v>602</v>
      </c>
      <c r="F224" s="34" t="s">
        <v>644</v>
      </c>
      <c r="G224" s="28" t="str">
        <f t="shared" si="82"/>
        <v>OK</v>
      </c>
      <c r="H224" s="31">
        <f t="shared" si="83"/>
        <v>0.37986111111111109</v>
      </c>
      <c r="I224" s="27" t="str">
        <f t="shared" si="84"/>
        <v>NO OT</v>
      </c>
    </row>
    <row r="225" spans="1:9" ht="12.75" hidden="1" customHeight="1" x14ac:dyDescent="0.25">
      <c r="A225" s="28" t="s">
        <v>551</v>
      </c>
      <c r="B225" s="29">
        <v>46126</v>
      </c>
      <c r="C225" s="32" t="s">
        <v>458</v>
      </c>
      <c r="D225" s="34" t="s">
        <v>645</v>
      </c>
      <c r="E225" s="34" t="s">
        <v>225</v>
      </c>
      <c r="F225" s="34" t="s">
        <v>646</v>
      </c>
      <c r="G225" s="28" t="str">
        <f t="shared" si="82"/>
        <v>OK</v>
      </c>
      <c r="H225" s="31">
        <f t="shared" si="83"/>
        <v>0.36250000000000004</v>
      </c>
      <c r="I225" s="27" t="str">
        <f t="shared" si="84"/>
        <v>NO OT</v>
      </c>
    </row>
    <row r="226" spans="1:9" hidden="1" x14ac:dyDescent="0.25">
      <c r="A226" s="28" t="s">
        <v>551</v>
      </c>
      <c r="B226" s="29">
        <v>46127</v>
      </c>
      <c r="C226" s="32" t="s">
        <v>459</v>
      </c>
      <c r="D226" s="34" t="s">
        <v>351</v>
      </c>
      <c r="E226" s="34" t="s">
        <v>333</v>
      </c>
      <c r="F226" s="34" t="s">
        <v>262</v>
      </c>
      <c r="G226" s="28" t="str">
        <f t="shared" si="82"/>
        <v>OK</v>
      </c>
      <c r="H226" s="31">
        <f t="shared" si="83"/>
        <v>0.32361111111111118</v>
      </c>
      <c r="I226" s="27" t="str">
        <f t="shared" si="84"/>
        <v>NO OT</v>
      </c>
    </row>
    <row r="227" spans="1:9" ht="12.75" hidden="1" customHeight="1" x14ac:dyDescent="0.25">
      <c r="A227" s="28" t="s">
        <v>551</v>
      </c>
      <c r="B227" s="29">
        <v>46128</v>
      </c>
      <c r="C227" s="32" t="s">
        <v>460</v>
      </c>
      <c r="D227" s="34" t="s">
        <v>636</v>
      </c>
      <c r="E227" s="34" t="s">
        <v>223</v>
      </c>
      <c r="F227" s="34" t="s">
        <v>571</v>
      </c>
      <c r="G227" s="28" t="str">
        <f t="shared" si="82"/>
        <v>OK</v>
      </c>
      <c r="H227" s="31">
        <f t="shared" si="83"/>
        <v>0.3701388888888888</v>
      </c>
      <c r="I227" s="27" t="str">
        <f t="shared" si="84"/>
        <v>NO OT</v>
      </c>
    </row>
    <row r="228" spans="1:9" ht="12.75" hidden="1" customHeight="1" x14ac:dyDescent="0.25">
      <c r="A228" s="28" t="s">
        <v>551</v>
      </c>
      <c r="B228" s="29">
        <v>46129</v>
      </c>
      <c r="C228" s="32" t="s">
        <v>461</v>
      </c>
      <c r="D228" s="34" t="s">
        <v>635</v>
      </c>
      <c r="E228" s="34" t="s">
        <v>522</v>
      </c>
      <c r="F228" s="34" t="s">
        <v>647</v>
      </c>
      <c r="G228" s="28" t="str">
        <f t="shared" si="82"/>
        <v>OK</v>
      </c>
      <c r="H228" s="31">
        <f t="shared" si="83"/>
        <v>0.39236111111111105</v>
      </c>
      <c r="I228" s="27" t="str">
        <f t="shared" si="84"/>
        <v>00:09</v>
      </c>
    </row>
    <row r="229" spans="1:9" ht="12.75" hidden="1" customHeight="1" x14ac:dyDescent="0.25">
      <c r="A229" s="28" t="s">
        <v>551</v>
      </c>
      <c r="B229" s="29">
        <v>46130</v>
      </c>
      <c r="C229" s="32" t="s">
        <v>463</v>
      </c>
      <c r="D229" s="34" t="s">
        <v>559</v>
      </c>
      <c r="E229" s="34" t="s">
        <v>212</v>
      </c>
      <c r="F229" s="34" t="s">
        <v>637</v>
      </c>
      <c r="G229" s="28" t="str">
        <f t="shared" si="82"/>
        <v>OK</v>
      </c>
      <c r="H229" s="31">
        <f t="shared" si="83"/>
        <v>0.36319444444444432</v>
      </c>
      <c r="I229" s="27" t="str">
        <f t="shared" si="84"/>
        <v>NO OT</v>
      </c>
    </row>
    <row r="230" spans="1:9" ht="12.75" hidden="1" customHeight="1" x14ac:dyDescent="0.25">
      <c r="A230" s="28" t="s">
        <v>551</v>
      </c>
      <c r="B230" s="29">
        <v>46131</v>
      </c>
      <c r="C230" s="33" t="s">
        <v>456</v>
      </c>
      <c r="D230" s="34"/>
      <c r="E230" s="34"/>
      <c r="F230" s="34"/>
      <c r="G230" s="33" t="str">
        <f t="shared" si="82"/>
        <v>SUNDAY</v>
      </c>
      <c r="H230" s="31">
        <f t="shared" si="83"/>
        <v>0</v>
      </c>
      <c r="I230" s="27" t="str">
        <f t="shared" si="84"/>
        <v>NO OT</v>
      </c>
    </row>
    <row r="231" spans="1:9" ht="12.75" hidden="1" customHeight="1" x14ac:dyDescent="0.25">
      <c r="A231" s="28" t="s">
        <v>551</v>
      </c>
      <c r="B231" s="29">
        <v>46132</v>
      </c>
      <c r="C231" s="32" t="s">
        <v>457</v>
      </c>
      <c r="D231" s="34" t="s">
        <v>635</v>
      </c>
      <c r="E231" s="34" t="s">
        <v>203</v>
      </c>
      <c r="F231" s="34" t="s">
        <v>575</v>
      </c>
      <c r="G231" s="28" t="str">
        <f t="shared" si="82"/>
        <v>OK</v>
      </c>
      <c r="H231" s="31">
        <f t="shared" si="83"/>
        <v>0.37291666666666667</v>
      </c>
      <c r="I231" s="27" t="str">
        <f t="shared" si="84"/>
        <v>NO OT</v>
      </c>
    </row>
    <row r="232" spans="1:9" ht="12.75" hidden="1" customHeight="1" x14ac:dyDescent="0.25">
      <c r="A232" s="28" t="s">
        <v>551</v>
      </c>
      <c r="B232" s="29">
        <v>46133</v>
      </c>
      <c r="C232" s="32" t="s">
        <v>458</v>
      </c>
      <c r="D232" s="34" t="s">
        <v>636</v>
      </c>
      <c r="E232" s="34" t="s">
        <v>190</v>
      </c>
      <c r="F232" s="34" t="s">
        <v>648</v>
      </c>
      <c r="G232" s="28" t="str">
        <f t="shared" si="82"/>
        <v>OK</v>
      </c>
      <c r="H232" s="31">
        <f t="shared" si="83"/>
        <v>0.36805555555555558</v>
      </c>
      <c r="I232" s="27" t="str">
        <f t="shared" si="84"/>
        <v>NO OT</v>
      </c>
    </row>
    <row r="233" spans="1:9" hidden="1" x14ac:dyDescent="0.25">
      <c r="A233" s="28" t="s">
        <v>551</v>
      </c>
      <c r="B233" s="29">
        <v>46134</v>
      </c>
      <c r="C233" s="32" t="s">
        <v>459</v>
      </c>
      <c r="D233" s="34" t="s">
        <v>649</v>
      </c>
      <c r="E233" s="34" t="s">
        <v>214</v>
      </c>
      <c r="F233" s="34" t="s">
        <v>638</v>
      </c>
      <c r="G233" s="28" t="str">
        <f t="shared" si="82"/>
        <v>OK</v>
      </c>
      <c r="H233" s="31">
        <f t="shared" si="83"/>
        <v>0.36666666666666659</v>
      </c>
      <c r="I233" s="27" t="str">
        <f t="shared" si="84"/>
        <v>NO OT</v>
      </c>
    </row>
    <row r="234" spans="1:9" ht="12.75" hidden="1" customHeight="1" x14ac:dyDescent="0.25">
      <c r="A234" s="28" t="s">
        <v>551</v>
      </c>
      <c r="B234" s="29">
        <v>46135</v>
      </c>
      <c r="C234" s="32" t="s">
        <v>460</v>
      </c>
      <c r="D234" s="34" t="s">
        <v>569</v>
      </c>
      <c r="E234" s="34" t="s">
        <v>203</v>
      </c>
      <c r="F234" s="34" t="s">
        <v>650</v>
      </c>
      <c r="G234" s="28" t="str">
        <f t="shared" si="82"/>
        <v>OK</v>
      </c>
      <c r="H234" s="31">
        <f t="shared" si="83"/>
        <v>0.37083333333333335</v>
      </c>
      <c r="I234" s="27" t="str">
        <f t="shared" si="84"/>
        <v>NO OT</v>
      </c>
    </row>
    <row r="235" spans="1:9" ht="12.75" hidden="1" customHeight="1" x14ac:dyDescent="0.25">
      <c r="A235" s="28" t="s">
        <v>551</v>
      </c>
      <c r="B235" s="29">
        <v>46136</v>
      </c>
      <c r="C235" s="32" t="s">
        <v>461</v>
      </c>
      <c r="D235" s="34" t="s">
        <v>422</v>
      </c>
      <c r="E235" s="34" t="s">
        <v>203</v>
      </c>
      <c r="F235" s="34" t="s">
        <v>638</v>
      </c>
      <c r="G235" s="28" t="str">
        <f t="shared" si="82"/>
        <v>OK</v>
      </c>
      <c r="H235" s="31">
        <f t="shared" si="83"/>
        <v>0.3666666666666667</v>
      </c>
      <c r="I235" s="27" t="str">
        <f t="shared" si="84"/>
        <v>NO OT</v>
      </c>
    </row>
    <row r="236" spans="1:9" ht="12.75" hidden="1" customHeight="1" x14ac:dyDescent="0.25">
      <c r="A236" s="28" t="s">
        <v>551</v>
      </c>
      <c r="B236" s="29">
        <v>46137</v>
      </c>
      <c r="C236" s="32" t="s">
        <v>463</v>
      </c>
      <c r="D236" s="34"/>
      <c r="E236" s="34"/>
      <c r="F236" s="34"/>
      <c r="G236" s="33" t="str">
        <f t="shared" ref="G236:G299" si="85">IF(C236="Sunday", "SUNDAY", IF(OR(D236=0, D236="", D236="0:0"), "ABSENT", IF(MOD(D236,1) &gt; TIME(9,45,0), "LATE", "OK")))</f>
        <v>ABSENT</v>
      </c>
      <c r="H236" s="31">
        <f t="shared" ref="H236:H299" si="86">IF(OR(D236=0, D236="", E236=0, E236=""), 0, (E236-D236)-TIME(1,0,0))</f>
        <v>0</v>
      </c>
      <c r="I236" s="27" t="str">
        <f t="shared" ref="I236:I299" si="87">IF(VALUE(E236) &gt; TIME(19,0,0), TEXT(VALUE(E236) - TIME(19,0,0), "hh:mm"), "NO OT")</f>
        <v>NO OT</v>
      </c>
    </row>
    <row r="237" spans="1:9" ht="12.75" hidden="1" customHeight="1" x14ac:dyDescent="0.25">
      <c r="A237" s="28" t="s">
        <v>551</v>
      </c>
      <c r="B237" s="29">
        <v>46138</v>
      </c>
      <c r="C237" s="33" t="s">
        <v>456</v>
      </c>
      <c r="D237" s="34"/>
      <c r="E237" s="34"/>
      <c r="F237" s="34"/>
      <c r="G237" s="33" t="str">
        <f t="shared" si="85"/>
        <v>SUNDAY</v>
      </c>
      <c r="H237" s="31">
        <f t="shared" si="86"/>
        <v>0</v>
      </c>
      <c r="I237" s="27" t="str">
        <f t="shared" si="87"/>
        <v>NO OT</v>
      </c>
    </row>
    <row r="238" spans="1:9" ht="12.75" hidden="1" customHeight="1" x14ac:dyDescent="0.25">
      <c r="A238" s="28" t="s">
        <v>551</v>
      </c>
      <c r="B238" s="29">
        <v>46139</v>
      </c>
      <c r="C238" s="32" t="s">
        <v>457</v>
      </c>
      <c r="D238" s="34" t="s">
        <v>651</v>
      </c>
      <c r="E238" s="34" t="s">
        <v>311</v>
      </c>
      <c r="F238" s="34" t="s">
        <v>201</v>
      </c>
      <c r="G238" s="28" t="str">
        <f t="shared" si="85"/>
        <v>OK</v>
      </c>
      <c r="H238" s="31">
        <f t="shared" si="86"/>
        <v>0.37638888888888888</v>
      </c>
      <c r="I238" s="27" t="str">
        <f t="shared" si="87"/>
        <v>NO OT</v>
      </c>
    </row>
    <row r="239" spans="1:9" hidden="1" x14ac:dyDescent="0.25">
      <c r="A239" s="28" t="s">
        <v>551</v>
      </c>
      <c r="B239" s="29">
        <v>46140</v>
      </c>
      <c r="C239" s="32" t="s">
        <v>458</v>
      </c>
      <c r="D239" s="34" t="s">
        <v>643</v>
      </c>
      <c r="E239" s="34" t="s">
        <v>303</v>
      </c>
      <c r="F239" s="34" t="s">
        <v>652</v>
      </c>
      <c r="G239" s="28" t="str">
        <f t="shared" si="85"/>
        <v>OK</v>
      </c>
      <c r="H239" s="31">
        <f t="shared" si="86"/>
        <v>0.3652777777777777</v>
      </c>
      <c r="I239" s="27" t="str">
        <f t="shared" si="87"/>
        <v>NO OT</v>
      </c>
    </row>
    <row r="240" spans="1:9" hidden="1" x14ac:dyDescent="0.25">
      <c r="A240" s="28" t="s">
        <v>551</v>
      </c>
      <c r="B240" s="29">
        <v>46141</v>
      </c>
      <c r="C240" s="32" t="s">
        <v>459</v>
      </c>
      <c r="D240" s="34" t="s">
        <v>651</v>
      </c>
      <c r="E240" s="34" t="s">
        <v>389</v>
      </c>
      <c r="F240" s="34" t="s">
        <v>644</v>
      </c>
      <c r="G240" s="28" t="str">
        <f t="shared" si="85"/>
        <v>OK</v>
      </c>
      <c r="H240" s="31">
        <f t="shared" si="86"/>
        <v>0.37986111111111098</v>
      </c>
      <c r="I240" s="27" t="str">
        <f t="shared" si="87"/>
        <v>NO OT</v>
      </c>
    </row>
    <row r="241" spans="1:9" ht="12.75" hidden="1" customHeight="1" x14ac:dyDescent="0.25">
      <c r="A241" s="28" t="s">
        <v>551</v>
      </c>
      <c r="B241" s="29">
        <v>46142</v>
      </c>
      <c r="C241" s="32" t="s">
        <v>460</v>
      </c>
      <c r="D241" s="34" t="s">
        <v>653</v>
      </c>
      <c r="E241" s="34" t="s">
        <v>512</v>
      </c>
      <c r="F241" s="34" t="s">
        <v>654</v>
      </c>
      <c r="G241" s="28" t="str">
        <f t="shared" si="85"/>
        <v>OK</v>
      </c>
      <c r="H241" s="31">
        <f t="shared" si="86"/>
        <v>0.35555555555555562</v>
      </c>
      <c r="I241" s="27" t="str">
        <f t="shared" si="87"/>
        <v>NO OT</v>
      </c>
    </row>
    <row r="242" spans="1:9" ht="12.75" hidden="1" customHeight="1" x14ac:dyDescent="0.25">
      <c r="A242" s="28" t="s">
        <v>576</v>
      </c>
      <c r="B242" s="29">
        <v>46113</v>
      </c>
      <c r="C242" s="32" t="s">
        <v>459</v>
      </c>
      <c r="D242" s="34" t="s">
        <v>184</v>
      </c>
      <c r="E242" s="34" t="s">
        <v>519</v>
      </c>
      <c r="F242" s="34" t="s">
        <v>235</v>
      </c>
      <c r="G242" s="28" t="str">
        <f t="shared" si="85"/>
        <v>LATE</v>
      </c>
      <c r="H242" s="31">
        <f t="shared" si="86"/>
        <v>0.27222222222222225</v>
      </c>
      <c r="I242" s="27" t="str">
        <f t="shared" si="87"/>
        <v>NO OT</v>
      </c>
    </row>
    <row r="243" spans="1:9" ht="12.75" hidden="1" customHeight="1" x14ac:dyDescent="0.25">
      <c r="A243" s="28" t="s">
        <v>576</v>
      </c>
      <c r="B243" s="29">
        <v>46114</v>
      </c>
      <c r="C243" s="32" t="s">
        <v>460</v>
      </c>
      <c r="D243" s="34" t="s">
        <v>144</v>
      </c>
      <c r="E243" s="34" t="s">
        <v>12</v>
      </c>
      <c r="F243" s="34" t="s">
        <v>188</v>
      </c>
      <c r="G243" s="28" t="str">
        <f t="shared" si="85"/>
        <v>LATE</v>
      </c>
      <c r="H243" s="31">
        <f t="shared" si="86"/>
        <v>-0.46736111111111112</v>
      </c>
      <c r="I243" s="27" t="str">
        <f t="shared" si="87"/>
        <v>NO OT</v>
      </c>
    </row>
    <row r="244" spans="1:9" ht="12.75" hidden="1" customHeight="1" x14ac:dyDescent="0.25">
      <c r="A244" s="28" t="s">
        <v>576</v>
      </c>
      <c r="B244" s="29">
        <v>46115</v>
      </c>
      <c r="C244" s="32" t="s">
        <v>461</v>
      </c>
      <c r="D244" s="34" t="s">
        <v>169</v>
      </c>
      <c r="E244" s="34" t="s">
        <v>519</v>
      </c>
      <c r="F244" s="34" t="s">
        <v>228</v>
      </c>
      <c r="G244" s="33" t="str">
        <f t="shared" si="85"/>
        <v>LATE</v>
      </c>
      <c r="H244" s="31">
        <f t="shared" si="86"/>
        <v>0.28402777777777777</v>
      </c>
      <c r="I244" s="27" t="str">
        <f t="shared" si="87"/>
        <v>NO OT</v>
      </c>
    </row>
    <row r="245" spans="1:9" ht="12.75" hidden="1" customHeight="1" x14ac:dyDescent="0.25">
      <c r="A245" s="28" t="s">
        <v>576</v>
      </c>
      <c r="B245" s="29">
        <v>46116</v>
      </c>
      <c r="C245" s="32" t="s">
        <v>463</v>
      </c>
      <c r="D245" s="34"/>
      <c r="E245" s="34"/>
      <c r="F245" s="34"/>
      <c r="G245" s="33" t="str">
        <f t="shared" si="85"/>
        <v>ABSENT</v>
      </c>
      <c r="H245" s="31">
        <f t="shared" si="86"/>
        <v>0</v>
      </c>
      <c r="I245" s="27" t="str">
        <f t="shared" si="87"/>
        <v>NO OT</v>
      </c>
    </row>
    <row r="246" spans="1:9" ht="12.75" hidden="1" customHeight="1" x14ac:dyDescent="0.25">
      <c r="A246" s="28" t="s">
        <v>576</v>
      </c>
      <c r="B246" s="29">
        <v>46117</v>
      </c>
      <c r="C246" s="33" t="s">
        <v>456</v>
      </c>
      <c r="D246" s="34"/>
      <c r="E246" s="34"/>
      <c r="F246" s="34"/>
      <c r="G246" s="33" t="str">
        <f t="shared" si="85"/>
        <v>SUNDAY</v>
      </c>
      <c r="H246" s="31">
        <f t="shared" si="86"/>
        <v>0</v>
      </c>
      <c r="I246" s="27" t="str">
        <f t="shared" si="87"/>
        <v>NO OT</v>
      </c>
    </row>
    <row r="247" spans="1:9" hidden="1" x14ac:dyDescent="0.25">
      <c r="A247" s="28" t="s">
        <v>576</v>
      </c>
      <c r="B247" s="29">
        <v>46118</v>
      </c>
      <c r="C247" s="32" t="s">
        <v>457</v>
      </c>
      <c r="D247" s="34"/>
      <c r="E247" s="34"/>
      <c r="F247" s="34"/>
      <c r="G247" s="33" t="str">
        <f t="shared" si="85"/>
        <v>ABSENT</v>
      </c>
      <c r="H247" s="31">
        <f t="shared" si="86"/>
        <v>0</v>
      </c>
      <c r="I247" s="27" t="str">
        <f t="shared" si="87"/>
        <v>NO OT</v>
      </c>
    </row>
    <row r="248" spans="1:9" ht="12.75" hidden="1" customHeight="1" x14ac:dyDescent="0.25">
      <c r="A248" s="28" t="s">
        <v>576</v>
      </c>
      <c r="B248" s="29">
        <v>46119</v>
      </c>
      <c r="C248" s="32" t="s">
        <v>458</v>
      </c>
      <c r="D248" s="34" t="s">
        <v>182</v>
      </c>
      <c r="E248" s="34" t="s">
        <v>434</v>
      </c>
      <c r="F248" s="34" t="s">
        <v>475</v>
      </c>
      <c r="G248" s="28" t="str">
        <f t="shared" si="85"/>
        <v>LATE</v>
      </c>
      <c r="H248" s="31">
        <f t="shared" si="86"/>
        <v>0.27777777777777779</v>
      </c>
      <c r="I248" s="27" t="str">
        <f t="shared" si="87"/>
        <v>NO OT</v>
      </c>
    </row>
    <row r="249" spans="1:9" ht="12.75" hidden="1" customHeight="1" x14ac:dyDescent="0.25">
      <c r="A249" s="28" t="s">
        <v>576</v>
      </c>
      <c r="B249" s="29">
        <v>46120</v>
      </c>
      <c r="C249" s="32" t="s">
        <v>459</v>
      </c>
      <c r="D249" s="34" t="s">
        <v>183</v>
      </c>
      <c r="E249" s="34" t="s">
        <v>274</v>
      </c>
      <c r="F249" s="34" t="s">
        <v>437</v>
      </c>
      <c r="G249" s="28" t="str">
        <f t="shared" si="85"/>
        <v>LATE</v>
      </c>
      <c r="H249" s="31">
        <f t="shared" si="86"/>
        <v>0.27499999999999986</v>
      </c>
      <c r="I249" s="27" t="str">
        <f t="shared" si="87"/>
        <v>NO OT</v>
      </c>
    </row>
    <row r="250" spans="1:9" hidden="1" x14ac:dyDescent="0.25">
      <c r="A250" s="28" t="s">
        <v>576</v>
      </c>
      <c r="B250" s="29">
        <v>46121</v>
      </c>
      <c r="C250" s="32" t="s">
        <v>460</v>
      </c>
      <c r="D250" s="34" t="s">
        <v>145</v>
      </c>
      <c r="E250" s="34" t="s">
        <v>519</v>
      </c>
      <c r="F250" s="34" t="s">
        <v>436</v>
      </c>
      <c r="G250" s="28" t="str">
        <f t="shared" si="85"/>
        <v>LATE</v>
      </c>
      <c r="H250" s="31">
        <f t="shared" si="86"/>
        <v>0.27708333333333335</v>
      </c>
      <c r="I250" s="27" t="str">
        <f t="shared" si="87"/>
        <v>NO OT</v>
      </c>
    </row>
    <row r="251" spans="1:9" ht="12.75" hidden="1" customHeight="1" x14ac:dyDescent="0.25">
      <c r="A251" s="28" t="s">
        <v>576</v>
      </c>
      <c r="B251" s="29">
        <v>46122</v>
      </c>
      <c r="C251" s="32" t="s">
        <v>461</v>
      </c>
      <c r="D251" s="34" t="s">
        <v>184</v>
      </c>
      <c r="E251" s="34" t="s">
        <v>274</v>
      </c>
      <c r="F251" s="34" t="s">
        <v>579</v>
      </c>
      <c r="G251" s="33" t="str">
        <f t="shared" si="85"/>
        <v>LATE</v>
      </c>
      <c r="H251" s="31">
        <f t="shared" si="86"/>
        <v>0.27291666666666659</v>
      </c>
      <c r="I251" s="27" t="str">
        <f t="shared" si="87"/>
        <v>NO OT</v>
      </c>
    </row>
    <row r="252" spans="1:9" hidden="1" x14ac:dyDescent="0.25">
      <c r="A252" s="28" t="s">
        <v>576</v>
      </c>
      <c r="B252" s="29">
        <v>46123</v>
      </c>
      <c r="C252" s="32" t="s">
        <v>463</v>
      </c>
      <c r="D252" s="34"/>
      <c r="E252" s="34"/>
      <c r="F252" s="34"/>
      <c r="G252" s="33" t="str">
        <f t="shared" si="85"/>
        <v>ABSENT</v>
      </c>
      <c r="H252" s="31">
        <f t="shared" si="86"/>
        <v>0</v>
      </c>
      <c r="I252" s="27" t="str">
        <f t="shared" si="87"/>
        <v>NO OT</v>
      </c>
    </row>
    <row r="253" spans="1:9" hidden="1" x14ac:dyDescent="0.25">
      <c r="A253" s="28" t="s">
        <v>576</v>
      </c>
      <c r="B253" s="29">
        <v>46124</v>
      </c>
      <c r="C253" s="33" t="s">
        <v>456</v>
      </c>
      <c r="D253" s="34"/>
      <c r="E253" s="34"/>
      <c r="F253" s="34"/>
      <c r="G253" s="33" t="str">
        <f t="shared" si="85"/>
        <v>SUNDAY</v>
      </c>
      <c r="H253" s="31">
        <f t="shared" si="86"/>
        <v>0</v>
      </c>
      <c r="I253" s="27" t="str">
        <f t="shared" si="87"/>
        <v>NO OT</v>
      </c>
    </row>
    <row r="254" spans="1:9" ht="12.75" hidden="1" customHeight="1" x14ac:dyDescent="0.25">
      <c r="A254" s="28" t="s">
        <v>576</v>
      </c>
      <c r="B254" s="29">
        <v>46125</v>
      </c>
      <c r="C254" s="32" t="s">
        <v>457</v>
      </c>
      <c r="D254" s="34" t="s">
        <v>185</v>
      </c>
      <c r="E254" s="34" t="s">
        <v>274</v>
      </c>
      <c r="F254" s="34" t="s">
        <v>470</v>
      </c>
      <c r="G254" s="28" t="str">
        <f t="shared" si="85"/>
        <v>LATE</v>
      </c>
      <c r="H254" s="31">
        <f t="shared" si="86"/>
        <v>0.27569444444444435</v>
      </c>
      <c r="I254" s="27" t="str">
        <f t="shared" si="87"/>
        <v>NO OT</v>
      </c>
    </row>
    <row r="255" spans="1:9" ht="12.75" hidden="1" customHeight="1" x14ac:dyDescent="0.25">
      <c r="A255" s="28" t="s">
        <v>576</v>
      </c>
      <c r="B255" s="29">
        <v>46126</v>
      </c>
      <c r="C255" s="32" t="s">
        <v>458</v>
      </c>
      <c r="D255" s="34" t="s">
        <v>165</v>
      </c>
      <c r="E255" s="34" t="s">
        <v>519</v>
      </c>
      <c r="F255" s="34" t="s">
        <v>427</v>
      </c>
      <c r="G255" s="28" t="str">
        <f t="shared" si="85"/>
        <v>LATE</v>
      </c>
      <c r="H255" s="31">
        <f t="shared" si="86"/>
        <v>0.28055555555555556</v>
      </c>
      <c r="I255" s="27" t="str">
        <f t="shared" si="87"/>
        <v>NO OT</v>
      </c>
    </row>
    <row r="256" spans="1:9" ht="12.75" hidden="1" customHeight="1" x14ac:dyDescent="0.25">
      <c r="A256" s="28" t="s">
        <v>576</v>
      </c>
      <c r="B256" s="29">
        <v>46127</v>
      </c>
      <c r="C256" s="32" t="s">
        <v>459</v>
      </c>
      <c r="D256" s="34" t="s">
        <v>163</v>
      </c>
      <c r="E256" s="34" t="s">
        <v>12</v>
      </c>
      <c r="F256" s="34" t="s">
        <v>188</v>
      </c>
      <c r="G256" s="28" t="str">
        <f t="shared" si="85"/>
        <v>LATE</v>
      </c>
      <c r="H256" s="31">
        <f t="shared" si="86"/>
        <v>-0.47152777777777777</v>
      </c>
      <c r="I256" s="27" t="str">
        <f t="shared" si="87"/>
        <v>NO OT</v>
      </c>
    </row>
    <row r="257" spans="1:9" hidden="1" x14ac:dyDescent="0.25">
      <c r="A257" s="28" t="s">
        <v>576</v>
      </c>
      <c r="B257" s="29">
        <v>46128</v>
      </c>
      <c r="C257" s="32" t="s">
        <v>460</v>
      </c>
      <c r="D257" s="34"/>
      <c r="E257" s="34"/>
      <c r="F257" s="34"/>
      <c r="G257" s="33" t="str">
        <f t="shared" si="85"/>
        <v>ABSENT</v>
      </c>
      <c r="H257" s="31">
        <f t="shared" si="86"/>
        <v>0</v>
      </c>
      <c r="I257" s="27" t="str">
        <f t="shared" si="87"/>
        <v>NO OT</v>
      </c>
    </row>
    <row r="258" spans="1:9" ht="12.75" hidden="1" customHeight="1" x14ac:dyDescent="0.25">
      <c r="A258" s="28" t="s">
        <v>576</v>
      </c>
      <c r="B258" s="29">
        <v>46129</v>
      </c>
      <c r="C258" s="32" t="s">
        <v>461</v>
      </c>
      <c r="D258" s="34"/>
      <c r="E258" s="34"/>
      <c r="F258" s="34"/>
      <c r="G258" s="33" t="str">
        <f t="shared" si="85"/>
        <v>ABSENT</v>
      </c>
      <c r="H258" s="31">
        <f t="shared" si="86"/>
        <v>0</v>
      </c>
      <c r="I258" s="27" t="str">
        <f t="shared" si="87"/>
        <v>NO OT</v>
      </c>
    </row>
    <row r="259" spans="1:9" ht="12.75" hidden="1" customHeight="1" x14ac:dyDescent="0.25">
      <c r="A259" s="28" t="s">
        <v>576</v>
      </c>
      <c r="B259" s="29">
        <v>46130</v>
      </c>
      <c r="C259" s="32" t="s">
        <v>463</v>
      </c>
      <c r="D259" s="34"/>
      <c r="E259" s="34"/>
      <c r="F259" s="34"/>
      <c r="G259" s="33" t="str">
        <f t="shared" si="85"/>
        <v>ABSENT</v>
      </c>
      <c r="H259" s="31">
        <f t="shared" si="86"/>
        <v>0</v>
      </c>
      <c r="I259" s="27" t="str">
        <f t="shared" si="87"/>
        <v>NO OT</v>
      </c>
    </row>
    <row r="260" spans="1:9" ht="12.75" hidden="1" customHeight="1" x14ac:dyDescent="0.25">
      <c r="A260" s="28" t="s">
        <v>576</v>
      </c>
      <c r="B260" s="29">
        <v>46131</v>
      </c>
      <c r="C260" s="33" t="s">
        <v>456</v>
      </c>
      <c r="D260" s="34"/>
      <c r="E260" s="34"/>
      <c r="F260" s="34"/>
      <c r="G260" s="33" t="str">
        <f t="shared" si="85"/>
        <v>SUNDAY</v>
      </c>
      <c r="H260" s="31">
        <f t="shared" si="86"/>
        <v>0</v>
      </c>
      <c r="I260" s="27" t="str">
        <f t="shared" si="87"/>
        <v>NO OT</v>
      </c>
    </row>
    <row r="261" spans="1:9" ht="12.75" hidden="1" customHeight="1" x14ac:dyDescent="0.25">
      <c r="A261" s="28" t="s">
        <v>576</v>
      </c>
      <c r="B261" s="29">
        <v>46132</v>
      </c>
      <c r="C261" s="32" t="s">
        <v>457</v>
      </c>
      <c r="D261" s="34" t="s">
        <v>142</v>
      </c>
      <c r="E261" s="34" t="s">
        <v>434</v>
      </c>
      <c r="F261" s="34" t="s">
        <v>228</v>
      </c>
      <c r="G261" s="28" t="str">
        <f t="shared" si="85"/>
        <v>LATE</v>
      </c>
      <c r="H261" s="31">
        <f t="shared" si="86"/>
        <v>0.28402777777777777</v>
      </c>
      <c r="I261" s="27" t="str">
        <f t="shared" si="87"/>
        <v>NO OT</v>
      </c>
    </row>
    <row r="262" spans="1:9" ht="12.75" hidden="1" customHeight="1" x14ac:dyDescent="0.25">
      <c r="A262" s="28" t="s">
        <v>576</v>
      </c>
      <c r="B262" s="29">
        <v>46133</v>
      </c>
      <c r="C262" s="32" t="s">
        <v>458</v>
      </c>
      <c r="D262" s="34" t="s">
        <v>531</v>
      </c>
      <c r="E262" s="34" t="s">
        <v>434</v>
      </c>
      <c r="F262" s="34" t="s">
        <v>443</v>
      </c>
      <c r="G262" s="28" t="str">
        <f t="shared" si="85"/>
        <v>LATE</v>
      </c>
      <c r="H262" s="31">
        <f t="shared" si="86"/>
        <v>0.27083333333333331</v>
      </c>
      <c r="I262" s="27" t="str">
        <f t="shared" si="87"/>
        <v>NO OT</v>
      </c>
    </row>
    <row r="263" spans="1:9" ht="12.75" hidden="1" customHeight="1" x14ac:dyDescent="0.25">
      <c r="A263" s="28" t="s">
        <v>576</v>
      </c>
      <c r="B263" s="29">
        <v>46134</v>
      </c>
      <c r="C263" s="32" t="s">
        <v>459</v>
      </c>
      <c r="D263" s="34" t="s">
        <v>83</v>
      </c>
      <c r="E263" s="34" t="s">
        <v>525</v>
      </c>
      <c r="F263" s="34" t="s">
        <v>443</v>
      </c>
      <c r="G263" s="28" t="str">
        <f t="shared" si="85"/>
        <v>LATE</v>
      </c>
      <c r="H263" s="31">
        <f t="shared" si="86"/>
        <v>0.2708333333333332</v>
      </c>
      <c r="I263" s="27" t="str">
        <f t="shared" si="87"/>
        <v>NO OT</v>
      </c>
    </row>
    <row r="264" spans="1:9" hidden="1" x14ac:dyDescent="0.25">
      <c r="A264" s="28" t="s">
        <v>576</v>
      </c>
      <c r="B264" s="29">
        <v>46135</v>
      </c>
      <c r="C264" s="32" t="s">
        <v>460</v>
      </c>
      <c r="D264" s="34" t="s">
        <v>184</v>
      </c>
      <c r="E264" s="34" t="s">
        <v>313</v>
      </c>
      <c r="F264" s="34" t="s">
        <v>246</v>
      </c>
      <c r="G264" s="28" t="str">
        <f t="shared" si="85"/>
        <v>LATE</v>
      </c>
      <c r="H264" s="31">
        <f t="shared" si="86"/>
        <v>0.27361111111111114</v>
      </c>
      <c r="I264" s="27" t="str">
        <f t="shared" si="87"/>
        <v>NO OT</v>
      </c>
    </row>
    <row r="265" spans="1:9" hidden="1" x14ac:dyDescent="0.25">
      <c r="A265" s="28" t="s">
        <v>576</v>
      </c>
      <c r="B265" s="29">
        <v>46136</v>
      </c>
      <c r="C265" s="32" t="s">
        <v>461</v>
      </c>
      <c r="D265" s="34" t="s">
        <v>83</v>
      </c>
      <c r="E265" s="34" t="s">
        <v>313</v>
      </c>
      <c r="F265" s="34" t="s">
        <v>467</v>
      </c>
      <c r="G265" s="33" t="str">
        <f t="shared" si="85"/>
        <v>LATE</v>
      </c>
      <c r="H265" s="31">
        <f t="shared" si="86"/>
        <v>0.27430555555555552</v>
      </c>
      <c r="I265" s="27" t="str">
        <f t="shared" si="87"/>
        <v>NO OT</v>
      </c>
    </row>
    <row r="266" spans="1:9" ht="12.75" hidden="1" customHeight="1" x14ac:dyDescent="0.25">
      <c r="A266" s="28" t="s">
        <v>576</v>
      </c>
      <c r="B266" s="29">
        <v>46137</v>
      </c>
      <c r="C266" s="32" t="s">
        <v>463</v>
      </c>
      <c r="D266" s="34" t="s">
        <v>101</v>
      </c>
      <c r="E266" s="34" t="s">
        <v>12</v>
      </c>
      <c r="F266" s="34" t="s">
        <v>188</v>
      </c>
      <c r="G266" s="28" t="str">
        <f t="shared" si="85"/>
        <v>LATE</v>
      </c>
      <c r="H266" s="31">
        <f t="shared" si="86"/>
        <v>-0.46388888888888891</v>
      </c>
      <c r="I266" s="27" t="str">
        <f t="shared" si="87"/>
        <v>NO OT</v>
      </c>
    </row>
    <row r="267" spans="1:9" ht="12.75" hidden="1" customHeight="1" x14ac:dyDescent="0.25">
      <c r="A267" s="28" t="s">
        <v>576</v>
      </c>
      <c r="B267" s="29">
        <v>46138</v>
      </c>
      <c r="C267" s="33" t="s">
        <v>456</v>
      </c>
      <c r="D267" s="34"/>
      <c r="E267" s="34"/>
      <c r="F267" s="34"/>
      <c r="G267" s="33" t="str">
        <f t="shared" si="85"/>
        <v>SUNDAY</v>
      </c>
      <c r="H267" s="31">
        <f t="shared" si="86"/>
        <v>0</v>
      </c>
      <c r="I267" s="27" t="str">
        <f t="shared" si="87"/>
        <v>NO OT</v>
      </c>
    </row>
    <row r="268" spans="1:9" ht="12.75" hidden="1" customHeight="1" x14ac:dyDescent="0.25">
      <c r="A268" s="28" t="s">
        <v>576</v>
      </c>
      <c r="B268" s="29">
        <v>46139</v>
      </c>
      <c r="C268" s="32" t="s">
        <v>457</v>
      </c>
      <c r="D268" s="34"/>
      <c r="E268" s="34"/>
      <c r="F268" s="34"/>
      <c r="G268" s="33" t="str">
        <f t="shared" si="85"/>
        <v>ABSENT</v>
      </c>
      <c r="H268" s="31">
        <f t="shared" si="86"/>
        <v>0</v>
      </c>
      <c r="I268" s="27" t="str">
        <f t="shared" si="87"/>
        <v>NO OT</v>
      </c>
    </row>
    <row r="269" spans="1:9" ht="12.75" hidden="1" customHeight="1" x14ac:dyDescent="0.25">
      <c r="A269" s="28" t="s">
        <v>576</v>
      </c>
      <c r="B269" s="29">
        <v>46140</v>
      </c>
      <c r="C269" s="32" t="s">
        <v>458</v>
      </c>
      <c r="D269" s="34" t="s">
        <v>184</v>
      </c>
      <c r="E269" s="34" t="s">
        <v>618</v>
      </c>
      <c r="F269" s="34" t="s">
        <v>443</v>
      </c>
      <c r="G269" s="28" t="str">
        <f t="shared" si="85"/>
        <v>LATE</v>
      </c>
      <c r="H269" s="31">
        <f t="shared" si="86"/>
        <v>0.27083333333333337</v>
      </c>
      <c r="I269" s="27" t="str">
        <f t="shared" si="87"/>
        <v>NO OT</v>
      </c>
    </row>
    <row r="270" spans="1:9" hidden="1" x14ac:dyDescent="0.25">
      <c r="A270" s="28" t="s">
        <v>576</v>
      </c>
      <c r="B270" s="29">
        <v>46141</v>
      </c>
      <c r="C270" s="32" t="s">
        <v>459</v>
      </c>
      <c r="D270" s="34" t="s">
        <v>137</v>
      </c>
      <c r="E270" s="34" t="s">
        <v>519</v>
      </c>
      <c r="F270" s="34" t="s">
        <v>250</v>
      </c>
      <c r="G270" s="28" t="str">
        <f t="shared" si="85"/>
        <v>LATE</v>
      </c>
      <c r="H270" s="31">
        <f t="shared" si="86"/>
        <v>0.26874999999999999</v>
      </c>
      <c r="I270" s="27" t="str">
        <f t="shared" si="87"/>
        <v>NO OT</v>
      </c>
    </row>
    <row r="271" spans="1:9" hidden="1" x14ac:dyDescent="0.25">
      <c r="A271" s="28" t="s">
        <v>576</v>
      </c>
      <c r="B271" s="29">
        <v>46142</v>
      </c>
      <c r="C271" s="32" t="s">
        <v>460</v>
      </c>
      <c r="D271" s="34" t="s">
        <v>507</v>
      </c>
      <c r="E271" s="34" t="s">
        <v>444</v>
      </c>
      <c r="F271" s="34" t="s">
        <v>399</v>
      </c>
      <c r="G271" s="28" t="str">
        <f t="shared" si="85"/>
        <v>LATE</v>
      </c>
      <c r="H271" s="31">
        <f t="shared" si="86"/>
        <v>0.25069444444444444</v>
      </c>
      <c r="I271" s="27" t="str">
        <f t="shared" si="87"/>
        <v>NO OT</v>
      </c>
    </row>
    <row r="272" spans="1:9" ht="12.75" hidden="1" customHeight="1" x14ac:dyDescent="0.25">
      <c r="A272" s="28" t="s">
        <v>588</v>
      </c>
      <c r="B272" s="29">
        <v>46113</v>
      </c>
      <c r="C272" s="32" t="s">
        <v>459</v>
      </c>
      <c r="D272" s="34" t="s">
        <v>288</v>
      </c>
      <c r="E272" s="34" t="s">
        <v>209</v>
      </c>
      <c r="F272" s="34" t="s">
        <v>358</v>
      </c>
      <c r="G272" s="33" t="str">
        <f t="shared" si="85"/>
        <v>OK</v>
      </c>
      <c r="H272" s="31">
        <f t="shared" si="86"/>
        <v>0.33958333333333335</v>
      </c>
      <c r="I272" s="27" t="str">
        <f t="shared" si="87"/>
        <v>NO OT</v>
      </c>
    </row>
    <row r="273" spans="1:9" ht="12.75" hidden="1" customHeight="1" x14ac:dyDescent="0.25">
      <c r="A273" s="28" t="s">
        <v>588</v>
      </c>
      <c r="B273" s="29">
        <v>46114</v>
      </c>
      <c r="C273" s="32" t="s">
        <v>460</v>
      </c>
      <c r="D273" s="34"/>
      <c r="E273" s="34"/>
      <c r="F273" s="34"/>
      <c r="G273" s="33" t="str">
        <f t="shared" si="85"/>
        <v>ABSENT</v>
      </c>
      <c r="H273" s="31">
        <f t="shared" si="86"/>
        <v>0</v>
      </c>
      <c r="I273" s="27" t="str">
        <f t="shared" si="87"/>
        <v>NO OT</v>
      </c>
    </row>
    <row r="274" spans="1:9" ht="12.75" hidden="1" customHeight="1" x14ac:dyDescent="0.25">
      <c r="A274" s="28" t="s">
        <v>588</v>
      </c>
      <c r="B274" s="29">
        <v>46115</v>
      </c>
      <c r="C274" s="32" t="s">
        <v>461</v>
      </c>
      <c r="D274" s="34" t="s">
        <v>405</v>
      </c>
      <c r="E274" s="34" t="s">
        <v>254</v>
      </c>
      <c r="F274" s="34" t="s">
        <v>410</v>
      </c>
      <c r="G274" s="28" t="str">
        <f t="shared" si="85"/>
        <v>OK</v>
      </c>
      <c r="H274" s="31">
        <f t="shared" si="86"/>
        <v>0.35000000000000003</v>
      </c>
      <c r="I274" s="27" t="str">
        <f t="shared" si="87"/>
        <v>NO OT</v>
      </c>
    </row>
    <row r="275" spans="1:9" hidden="1" x14ac:dyDescent="0.25">
      <c r="A275" s="28" t="s">
        <v>588</v>
      </c>
      <c r="B275" s="29">
        <v>46116</v>
      </c>
      <c r="C275" s="32" t="s">
        <v>463</v>
      </c>
      <c r="D275" s="34" t="s">
        <v>403</v>
      </c>
      <c r="E275" s="34" t="s">
        <v>212</v>
      </c>
      <c r="F275" s="34" t="s">
        <v>314</v>
      </c>
      <c r="G275" s="28" t="str">
        <f t="shared" si="85"/>
        <v>OK</v>
      </c>
      <c r="H275" s="31">
        <f t="shared" si="86"/>
        <v>0.34444444444444433</v>
      </c>
      <c r="I275" s="27" t="str">
        <f t="shared" si="87"/>
        <v>NO OT</v>
      </c>
    </row>
    <row r="276" spans="1:9" ht="12.75" hidden="1" customHeight="1" x14ac:dyDescent="0.25">
      <c r="A276" s="28" t="s">
        <v>588</v>
      </c>
      <c r="B276" s="29">
        <v>46117</v>
      </c>
      <c r="C276" s="33" t="s">
        <v>456</v>
      </c>
      <c r="D276" s="34"/>
      <c r="E276" s="34"/>
      <c r="F276" s="34"/>
      <c r="G276" s="33" t="str">
        <f t="shared" si="85"/>
        <v>SUNDAY</v>
      </c>
      <c r="H276" s="31">
        <f t="shared" si="86"/>
        <v>0</v>
      </c>
      <c r="I276" s="27" t="str">
        <f t="shared" si="87"/>
        <v>NO OT</v>
      </c>
    </row>
    <row r="277" spans="1:9" ht="12.75" hidden="1" customHeight="1" x14ac:dyDescent="0.25">
      <c r="A277" s="28" t="s">
        <v>588</v>
      </c>
      <c r="B277" s="29">
        <v>46118</v>
      </c>
      <c r="C277" s="32" t="s">
        <v>457</v>
      </c>
      <c r="D277" s="34" t="s">
        <v>269</v>
      </c>
      <c r="E277" s="34" t="s">
        <v>197</v>
      </c>
      <c r="F277" s="34" t="s">
        <v>194</v>
      </c>
      <c r="G277" s="28" t="str">
        <f t="shared" si="85"/>
        <v>OK</v>
      </c>
      <c r="H277" s="31">
        <f t="shared" si="86"/>
        <v>0.32847222222222211</v>
      </c>
      <c r="I277" s="27" t="str">
        <f t="shared" si="87"/>
        <v>NO OT</v>
      </c>
    </row>
    <row r="278" spans="1:9" hidden="1" x14ac:dyDescent="0.25">
      <c r="A278" s="28" t="s">
        <v>588</v>
      </c>
      <c r="B278" s="29">
        <v>46119</v>
      </c>
      <c r="C278" s="32" t="s">
        <v>458</v>
      </c>
      <c r="D278" s="34" t="s">
        <v>474</v>
      </c>
      <c r="E278" s="34" t="s">
        <v>197</v>
      </c>
      <c r="F278" s="34" t="s">
        <v>204</v>
      </c>
      <c r="G278" s="28" t="str">
        <f t="shared" si="85"/>
        <v>OK</v>
      </c>
      <c r="H278" s="31">
        <f t="shared" si="86"/>
        <v>0.34097222222222212</v>
      </c>
      <c r="I278" s="27" t="str">
        <f t="shared" si="87"/>
        <v>NO OT</v>
      </c>
    </row>
    <row r="279" spans="1:9" ht="12.75" hidden="1" customHeight="1" x14ac:dyDescent="0.25">
      <c r="A279" s="28" t="s">
        <v>588</v>
      </c>
      <c r="B279" s="29">
        <v>46120</v>
      </c>
      <c r="C279" s="32" t="s">
        <v>459</v>
      </c>
      <c r="D279" s="34" t="s">
        <v>189</v>
      </c>
      <c r="E279" s="34" t="s">
        <v>389</v>
      </c>
      <c r="F279" s="34" t="s">
        <v>350</v>
      </c>
      <c r="G279" s="33" t="str">
        <f t="shared" si="85"/>
        <v>OK</v>
      </c>
      <c r="H279" s="31">
        <f t="shared" si="86"/>
        <v>0.3340277777777777</v>
      </c>
      <c r="I279" s="27" t="str">
        <f t="shared" si="87"/>
        <v>NO OT</v>
      </c>
    </row>
    <row r="280" spans="1:9" ht="12.75" hidden="1" customHeight="1" x14ac:dyDescent="0.25">
      <c r="A280" s="28" t="s">
        <v>588</v>
      </c>
      <c r="B280" s="29">
        <v>46121</v>
      </c>
      <c r="C280" s="32" t="s">
        <v>460</v>
      </c>
      <c r="D280" s="34" t="s">
        <v>409</v>
      </c>
      <c r="E280" s="34" t="s">
        <v>333</v>
      </c>
      <c r="F280" s="34" t="s">
        <v>423</v>
      </c>
      <c r="G280" s="28" t="str">
        <f t="shared" si="85"/>
        <v>OK</v>
      </c>
      <c r="H280" s="31">
        <f t="shared" si="86"/>
        <v>0.34791666666666665</v>
      </c>
      <c r="I280" s="27" t="str">
        <f t="shared" si="87"/>
        <v>NO OT</v>
      </c>
    </row>
    <row r="281" spans="1:9" hidden="1" x14ac:dyDescent="0.25">
      <c r="A281" s="28" t="s">
        <v>588</v>
      </c>
      <c r="B281" s="29">
        <v>46122</v>
      </c>
      <c r="C281" s="32" t="s">
        <v>461</v>
      </c>
      <c r="D281" s="34" t="s">
        <v>256</v>
      </c>
      <c r="E281" s="34" t="s">
        <v>292</v>
      </c>
      <c r="F281" s="34" t="s">
        <v>194</v>
      </c>
      <c r="G281" s="28" t="str">
        <f t="shared" si="85"/>
        <v>OK</v>
      </c>
      <c r="H281" s="31">
        <f t="shared" si="86"/>
        <v>0.32847222222222222</v>
      </c>
      <c r="I281" s="27" t="str">
        <f t="shared" si="87"/>
        <v>NO OT</v>
      </c>
    </row>
    <row r="282" spans="1:9" ht="12.75" hidden="1" customHeight="1" x14ac:dyDescent="0.25">
      <c r="A282" s="28" t="s">
        <v>588</v>
      </c>
      <c r="B282" s="29">
        <v>46123</v>
      </c>
      <c r="C282" s="32" t="s">
        <v>463</v>
      </c>
      <c r="D282" s="34" t="s">
        <v>276</v>
      </c>
      <c r="E282" s="34" t="s">
        <v>270</v>
      </c>
      <c r="F282" s="34" t="s">
        <v>191</v>
      </c>
      <c r="G282" s="28" t="str">
        <f t="shared" si="85"/>
        <v>OK</v>
      </c>
      <c r="H282" s="31">
        <f t="shared" si="86"/>
        <v>0.32916666666666672</v>
      </c>
      <c r="I282" s="27" t="str">
        <f t="shared" si="87"/>
        <v>NO OT</v>
      </c>
    </row>
    <row r="283" spans="1:9" ht="12.75" hidden="1" customHeight="1" x14ac:dyDescent="0.25">
      <c r="A283" s="28" t="s">
        <v>588</v>
      </c>
      <c r="B283" s="29">
        <v>46124</v>
      </c>
      <c r="C283" s="33" t="s">
        <v>456</v>
      </c>
      <c r="D283" s="34"/>
      <c r="E283" s="34"/>
      <c r="F283" s="34"/>
      <c r="G283" s="33" t="str">
        <f t="shared" si="85"/>
        <v>SUNDAY</v>
      </c>
      <c r="H283" s="31">
        <f t="shared" si="86"/>
        <v>0</v>
      </c>
      <c r="I283" s="27" t="str">
        <f t="shared" si="87"/>
        <v>NO OT</v>
      </c>
    </row>
    <row r="284" spans="1:9" hidden="1" x14ac:dyDescent="0.25">
      <c r="A284" s="28" t="s">
        <v>588</v>
      </c>
      <c r="B284" s="29">
        <v>46125</v>
      </c>
      <c r="C284" s="32" t="s">
        <v>457</v>
      </c>
      <c r="D284" s="34" t="s">
        <v>279</v>
      </c>
      <c r="E284" s="34" t="s">
        <v>346</v>
      </c>
      <c r="F284" s="34" t="s">
        <v>604</v>
      </c>
      <c r="G284" s="28" t="str">
        <f t="shared" si="85"/>
        <v>OK</v>
      </c>
      <c r="H284" s="31">
        <f t="shared" si="86"/>
        <v>0.34930555555555554</v>
      </c>
      <c r="I284" s="27" t="str">
        <f t="shared" si="87"/>
        <v>NO OT</v>
      </c>
    </row>
    <row r="285" spans="1:9" hidden="1" x14ac:dyDescent="0.25">
      <c r="A285" s="28" t="s">
        <v>588</v>
      </c>
      <c r="B285" s="29">
        <v>46126</v>
      </c>
      <c r="C285" s="32" t="s">
        <v>458</v>
      </c>
      <c r="D285" s="34" t="s">
        <v>371</v>
      </c>
      <c r="E285" s="34" t="s">
        <v>601</v>
      </c>
      <c r="F285" s="34" t="s">
        <v>204</v>
      </c>
      <c r="G285" s="28" t="str">
        <f t="shared" si="85"/>
        <v>OK</v>
      </c>
      <c r="H285" s="31">
        <f t="shared" si="86"/>
        <v>0.34097222222222212</v>
      </c>
      <c r="I285" s="27" t="str">
        <f t="shared" si="87"/>
        <v>NO OT</v>
      </c>
    </row>
    <row r="286" spans="1:9" ht="12.75" hidden="1" customHeight="1" x14ac:dyDescent="0.25">
      <c r="A286" s="28" t="s">
        <v>588</v>
      </c>
      <c r="B286" s="29">
        <v>46127</v>
      </c>
      <c r="C286" s="32" t="s">
        <v>459</v>
      </c>
      <c r="D286" s="34" t="s">
        <v>258</v>
      </c>
      <c r="E286" s="34" t="s">
        <v>209</v>
      </c>
      <c r="F286" s="34" t="s">
        <v>355</v>
      </c>
      <c r="G286" s="33" t="str">
        <f t="shared" si="85"/>
        <v>OK</v>
      </c>
      <c r="H286" s="31">
        <f t="shared" si="86"/>
        <v>0.33472222222222225</v>
      </c>
      <c r="I286" s="27" t="str">
        <f t="shared" si="87"/>
        <v>NO OT</v>
      </c>
    </row>
    <row r="287" spans="1:9" ht="12.75" hidden="1" customHeight="1" x14ac:dyDescent="0.25">
      <c r="A287" s="28" t="s">
        <v>588</v>
      </c>
      <c r="B287" s="29">
        <v>46128</v>
      </c>
      <c r="C287" s="32" t="s">
        <v>460</v>
      </c>
      <c r="D287" s="34" t="s">
        <v>364</v>
      </c>
      <c r="E287" s="34" t="s">
        <v>220</v>
      </c>
      <c r="F287" s="34" t="s">
        <v>410</v>
      </c>
      <c r="G287" s="28" t="str">
        <f t="shared" si="85"/>
        <v>OK</v>
      </c>
      <c r="H287" s="31">
        <f t="shared" si="86"/>
        <v>0.35</v>
      </c>
      <c r="I287" s="27" t="str">
        <f t="shared" si="87"/>
        <v>NO OT</v>
      </c>
    </row>
    <row r="288" spans="1:9" hidden="1" x14ac:dyDescent="0.25">
      <c r="A288" s="28" t="s">
        <v>588</v>
      </c>
      <c r="B288" s="29">
        <v>46129</v>
      </c>
      <c r="C288" s="32" t="s">
        <v>461</v>
      </c>
      <c r="D288" s="34" t="s">
        <v>360</v>
      </c>
      <c r="E288" s="34" t="s">
        <v>212</v>
      </c>
      <c r="F288" s="34" t="s">
        <v>221</v>
      </c>
      <c r="G288" s="28" t="str">
        <f t="shared" si="85"/>
        <v>OK</v>
      </c>
      <c r="H288" s="31">
        <f t="shared" si="86"/>
        <v>0.3333333333333332</v>
      </c>
      <c r="I288" s="27" t="str">
        <f t="shared" si="87"/>
        <v>NO OT</v>
      </c>
    </row>
    <row r="289" spans="1:9" ht="12.75" hidden="1" customHeight="1" x14ac:dyDescent="0.25">
      <c r="A289" s="28" t="s">
        <v>588</v>
      </c>
      <c r="B289" s="29">
        <v>46130</v>
      </c>
      <c r="C289" s="32" t="s">
        <v>463</v>
      </c>
      <c r="D289" s="34" t="s">
        <v>494</v>
      </c>
      <c r="E289" s="34" t="s">
        <v>333</v>
      </c>
      <c r="F289" s="34" t="s">
        <v>252</v>
      </c>
      <c r="G289" s="28" t="str">
        <f t="shared" si="85"/>
        <v>OK</v>
      </c>
      <c r="H289" s="31">
        <f t="shared" si="86"/>
        <v>0.33680555555555558</v>
      </c>
      <c r="I289" s="27" t="str">
        <f t="shared" si="87"/>
        <v>NO OT</v>
      </c>
    </row>
    <row r="290" spans="1:9" ht="12.75" hidden="1" customHeight="1" x14ac:dyDescent="0.25">
      <c r="A290" s="28" t="s">
        <v>588</v>
      </c>
      <c r="B290" s="29">
        <v>46131</v>
      </c>
      <c r="C290" s="33" t="s">
        <v>456</v>
      </c>
      <c r="D290" s="34"/>
      <c r="E290" s="34"/>
      <c r="F290" s="34"/>
      <c r="G290" s="33" t="str">
        <f t="shared" si="85"/>
        <v>SUNDAY</v>
      </c>
      <c r="H290" s="31">
        <f t="shared" si="86"/>
        <v>0</v>
      </c>
      <c r="I290" s="27" t="str">
        <f t="shared" si="87"/>
        <v>NO OT</v>
      </c>
    </row>
    <row r="291" spans="1:9" ht="12.75" hidden="1" customHeight="1" x14ac:dyDescent="0.25">
      <c r="A291" s="28" t="s">
        <v>588</v>
      </c>
      <c r="B291" s="29">
        <v>46132</v>
      </c>
      <c r="C291" s="32" t="s">
        <v>457</v>
      </c>
      <c r="D291" s="34"/>
      <c r="E291" s="34"/>
      <c r="F291" s="34"/>
      <c r="G291" s="33" t="str">
        <f t="shared" si="85"/>
        <v>ABSENT</v>
      </c>
      <c r="H291" s="31">
        <f t="shared" si="86"/>
        <v>0</v>
      </c>
      <c r="I291" s="27" t="str">
        <f t="shared" si="87"/>
        <v>NO OT</v>
      </c>
    </row>
    <row r="292" spans="1:9" ht="12.75" hidden="1" customHeight="1" x14ac:dyDescent="0.25">
      <c r="A292" s="28" t="s">
        <v>588</v>
      </c>
      <c r="B292" s="29">
        <v>46133</v>
      </c>
      <c r="C292" s="32" t="s">
        <v>458</v>
      </c>
      <c r="D292" s="34"/>
      <c r="E292" s="34"/>
      <c r="F292" s="34"/>
      <c r="G292" s="33" t="str">
        <f t="shared" si="85"/>
        <v>ABSENT</v>
      </c>
      <c r="H292" s="31">
        <f t="shared" si="86"/>
        <v>0</v>
      </c>
      <c r="I292" s="27" t="str">
        <f t="shared" si="87"/>
        <v>NO OT</v>
      </c>
    </row>
    <row r="293" spans="1:9" ht="12.75" hidden="1" customHeight="1" x14ac:dyDescent="0.25">
      <c r="A293" s="28" t="s">
        <v>588</v>
      </c>
      <c r="B293" s="29">
        <v>46134</v>
      </c>
      <c r="C293" s="32" t="s">
        <v>459</v>
      </c>
      <c r="D293" s="34"/>
      <c r="E293" s="34"/>
      <c r="F293" s="34"/>
      <c r="G293" s="33" t="str">
        <f t="shared" si="85"/>
        <v>ABSENT</v>
      </c>
      <c r="H293" s="31">
        <f t="shared" si="86"/>
        <v>0</v>
      </c>
      <c r="I293" s="27" t="str">
        <f t="shared" si="87"/>
        <v>NO OT</v>
      </c>
    </row>
    <row r="294" spans="1:9" ht="12.75" hidden="1" customHeight="1" x14ac:dyDescent="0.25">
      <c r="A294" s="28" t="s">
        <v>588</v>
      </c>
      <c r="B294" s="29">
        <v>46135</v>
      </c>
      <c r="C294" s="32" t="s">
        <v>460</v>
      </c>
      <c r="D294" s="34"/>
      <c r="E294" s="34"/>
      <c r="F294" s="34"/>
      <c r="G294" s="33" t="str">
        <f t="shared" si="85"/>
        <v>ABSENT</v>
      </c>
      <c r="H294" s="31">
        <f t="shared" si="86"/>
        <v>0</v>
      </c>
      <c r="I294" s="27" t="str">
        <f t="shared" si="87"/>
        <v>NO OT</v>
      </c>
    </row>
    <row r="295" spans="1:9" hidden="1" x14ac:dyDescent="0.25">
      <c r="A295" s="28" t="s">
        <v>588</v>
      </c>
      <c r="B295" s="29">
        <v>46136</v>
      </c>
      <c r="C295" s="32" t="s">
        <v>461</v>
      </c>
      <c r="D295" s="34"/>
      <c r="E295" s="34"/>
      <c r="F295" s="34"/>
      <c r="G295" s="33" t="str">
        <f t="shared" si="85"/>
        <v>ABSENT</v>
      </c>
      <c r="H295" s="31">
        <f t="shared" si="86"/>
        <v>0</v>
      </c>
      <c r="I295" s="27" t="str">
        <f t="shared" si="87"/>
        <v>NO OT</v>
      </c>
    </row>
    <row r="296" spans="1:9" hidden="1" x14ac:dyDescent="0.25">
      <c r="A296" s="28" t="s">
        <v>588</v>
      </c>
      <c r="B296" s="29">
        <v>46137</v>
      </c>
      <c r="C296" s="32" t="s">
        <v>463</v>
      </c>
      <c r="D296" s="34"/>
      <c r="E296" s="34"/>
      <c r="F296" s="34"/>
      <c r="G296" s="33" t="str">
        <f t="shared" si="85"/>
        <v>ABSENT</v>
      </c>
      <c r="H296" s="31">
        <f t="shared" si="86"/>
        <v>0</v>
      </c>
      <c r="I296" s="27" t="str">
        <f t="shared" si="87"/>
        <v>NO OT</v>
      </c>
    </row>
    <row r="297" spans="1:9" ht="12.75" hidden="1" customHeight="1" x14ac:dyDescent="0.25">
      <c r="A297" s="28" t="s">
        <v>588</v>
      </c>
      <c r="B297" s="29">
        <v>46138</v>
      </c>
      <c r="C297" s="33" t="s">
        <v>456</v>
      </c>
      <c r="D297" s="34"/>
      <c r="E297" s="34"/>
      <c r="F297" s="34"/>
      <c r="G297" s="33" t="str">
        <f t="shared" si="85"/>
        <v>SUNDAY</v>
      </c>
      <c r="H297" s="31">
        <f t="shared" si="86"/>
        <v>0</v>
      </c>
      <c r="I297" s="27" t="str">
        <f t="shared" si="87"/>
        <v>NO OT</v>
      </c>
    </row>
    <row r="298" spans="1:9" ht="12.75" hidden="1" customHeight="1" x14ac:dyDescent="0.25">
      <c r="A298" s="28" t="s">
        <v>588</v>
      </c>
      <c r="B298" s="29">
        <v>46139</v>
      </c>
      <c r="C298" s="32" t="s">
        <v>457</v>
      </c>
      <c r="D298" s="34" t="s">
        <v>279</v>
      </c>
      <c r="E298" s="34" t="s">
        <v>259</v>
      </c>
      <c r="F298" s="34" t="s">
        <v>301</v>
      </c>
      <c r="G298" s="28" t="str">
        <f t="shared" si="85"/>
        <v>OK</v>
      </c>
      <c r="H298" s="31">
        <f t="shared" si="86"/>
        <v>0.34305555555555556</v>
      </c>
      <c r="I298" s="27" t="str">
        <f t="shared" si="87"/>
        <v>NO OT</v>
      </c>
    </row>
    <row r="299" spans="1:9" ht="12.75" hidden="1" customHeight="1" x14ac:dyDescent="0.25">
      <c r="A299" s="28" t="s">
        <v>588</v>
      </c>
      <c r="B299" s="29">
        <v>46140</v>
      </c>
      <c r="C299" s="32" t="s">
        <v>458</v>
      </c>
      <c r="D299" s="34" t="s">
        <v>357</v>
      </c>
      <c r="E299" s="34" t="s">
        <v>292</v>
      </c>
      <c r="F299" s="34" t="s">
        <v>355</v>
      </c>
      <c r="G299" s="28" t="str">
        <f t="shared" si="85"/>
        <v>OK</v>
      </c>
      <c r="H299" s="31">
        <f t="shared" si="86"/>
        <v>0.33472222222222225</v>
      </c>
      <c r="I299" s="27" t="str">
        <f t="shared" si="87"/>
        <v>NO OT</v>
      </c>
    </row>
    <row r="300" spans="1:9" ht="12.75" hidden="1" customHeight="1" x14ac:dyDescent="0.25">
      <c r="A300" s="28" t="s">
        <v>588</v>
      </c>
      <c r="B300" s="29">
        <v>46141</v>
      </c>
      <c r="C300" s="32" t="s">
        <v>459</v>
      </c>
      <c r="D300" s="34" t="s">
        <v>260</v>
      </c>
      <c r="E300" s="34" t="s">
        <v>217</v>
      </c>
      <c r="F300" s="34" t="s">
        <v>620</v>
      </c>
      <c r="G300" s="33" t="str">
        <f t="shared" ref="G300:G301" si="88">IF(C300="Sunday", "SUNDAY", IF(OR(D300=0, D300="", D300="0:0"), "ABSENT", IF(MOD(D300,1) &gt; TIME(9,45,0), "LATE", "OK")))</f>
        <v>OK</v>
      </c>
      <c r="H300" s="31">
        <f t="shared" ref="H300:H301" si="89">IF(OR(D300=0, D300="", E300=0, E300=""), 0, (E300-D300)-TIME(1,0,0))</f>
        <v>0.34027777777777779</v>
      </c>
      <c r="I300" s="27" t="str">
        <f t="shared" ref="I300:I301" si="90">IF(VALUE(E300) &gt; TIME(19,0,0), TEXT(VALUE(E300) - TIME(19,0,0), "hh:mm"), "NO OT")</f>
        <v>NO OT</v>
      </c>
    </row>
    <row r="301" spans="1:9" hidden="1" x14ac:dyDescent="0.25">
      <c r="A301" s="28" t="s">
        <v>588</v>
      </c>
      <c r="B301" s="29">
        <v>46142</v>
      </c>
      <c r="C301" s="32" t="s">
        <v>460</v>
      </c>
      <c r="D301" s="43" t="s">
        <v>403</v>
      </c>
      <c r="E301" s="43" t="s">
        <v>190</v>
      </c>
      <c r="F301" s="43" t="s">
        <v>520</v>
      </c>
      <c r="G301" s="28" t="str">
        <f t="shared" si="88"/>
        <v>OK</v>
      </c>
      <c r="H301" s="31">
        <f t="shared" si="89"/>
        <v>0.34513888888888888</v>
      </c>
      <c r="I301" s="27" t="str">
        <f t="shared" si="90"/>
        <v>NO OT</v>
      </c>
    </row>
  </sheetData>
  <autoFilter ref="A1:CY301">
    <filterColumn colId="0">
      <filters>
        <filter val="SALMAN MIRZA"/>
      </filters>
    </filterColumn>
  </autoFilter>
  <conditionalFormatting sqref="G1">
    <cfRule type="containsText" dxfId="7" priority="1" operator="containsText" text="CHUTTI">
      <formula>NOT(ISERROR(SEARCH("CHUTTI",G1)))</formula>
    </cfRule>
    <cfRule type="containsText" dxfId="6" priority="2" operator="containsText" text="LATE">
      <formula>NOT(ISERROR(SEARCH("LATE",G1)))</formula>
    </cfRule>
    <cfRule type="containsText" dxfId="5" priority="3" operator="containsText" text="ABSENT">
      <formula>NOT(ISERROR(SEARCH("ABSENT",G1)))</formula>
    </cfRule>
    <cfRule type="containsText" dxfId="4" priority="4" operator="containsText" text="OK">
      <formula>NOT(ISERROR(SEARCH("OK",G1)))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590"/>
  <sheetViews>
    <sheetView tabSelected="1" workbookViewId="0">
      <selection activeCell="D169" sqref="D169"/>
    </sheetView>
  </sheetViews>
  <sheetFormatPr defaultRowHeight="12.75" x14ac:dyDescent="0.2"/>
  <cols>
    <col min="1" max="1" width="17.5703125" style="51" bestFit="1" customWidth="1"/>
    <col min="2" max="2" width="8.140625" style="51" bestFit="1" customWidth="1"/>
    <col min="3" max="3" width="11" style="51" bestFit="1" customWidth="1"/>
    <col min="4" max="4" width="11.28515625" style="51" customWidth="1"/>
    <col min="5" max="5" width="9.28515625" style="51" customWidth="1"/>
    <col min="6" max="6" width="10.7109375" style="51" customWidth="1"/>
    <col min="7" max="7" width="9.5703125" style="51" customWidth="1"/>
    <col min="8" max="8" width="15.85546875" style="51" customWidth="1"/>
    <col min="9" max="9" width="9.7109375" style="51" customWidth="1"/>
    <col min="10" max="16384" width="9.140625" style="51"/>
  </cols>
  <sheetData>
    <row r="1" spans="1:11" ht="38.25" x14ac:dyDescent="0.2">
      <c r="A1" s="28" t="s">
        <v>0</v>
      </c>
      <c r="B1" s="28" t="s">
        <v>1</v>
      </c>
      <c r="C1" s="28" t="s">
        <v>31</v>
      </c>
      <c r="D1" s="28" t="s">
        <v>454</v>
      </c>
      <c r="E1" s="28" t="s">
        <v>455</v>
      </c>
      <c r="F1" s="39" t="s">
        <v>453</v>
      </c>
      <c r="G1" s="48" t="s">
        <v>4</v>
      </c>
      <c r="H1" s="49" t="s">
        <v>5</v>
      </c>
      <c r="I1" s="50" t="s">
        <v>6</v>
      </c>
    </row>
    <row r="2" spans="1:11" s="54" customFormat="1" hidden="1" x14ac:dyDescent="0.2">
      <c r="A2" s="35" t="s">
        <v>48</v>
      </c>
      <c r="B2" s="36">
        <v>46143</v>
      </c>
      <c r="C2" s="53" t="s">
        <v>461</v>
      </c>
      <c r="D2" s="52" t="s">
        <v>216</v>
      </c>
      <c r="E2" s="52" t="s">
        <v>254</v>
      </c>
      <c r="F2" s="52" t="s">
        <v>656</v>
      </c>
      <c r="G2" s="35" t="str">
        <f>IF(C2="Sunday", "SUNDAY", IF(OR(D2=0, D2="", D2="0:0"), "ABSENT", IF(MOD(D2,1) &gt; TIME(9,45,0), "LATE", "OK")))</f>
        <v>LATE</v>
      </c>
      <c r="H2" s="37">
        <f>IF(OR(D2=0, D2="", E2=0, E2=""), 0, (E2-D2)-TIME(1,0,0))</f>
        <v>0.32291666666666669</v>
      </c>
      <c r="I2" s="38" t="str">
        <f>IF(VALUE(E2) &gt; TIME(19,0,0), TEXT(VALUE(E2) - TIME(19,0,0), "hh:mm"), "NO OT")</f>
        <v>NO OT</v>
      </c>
    </row>
    <row r="3" spans="1:11" s="54" customFormat="1" hidden="1" x14ac:dyDescent="0.2">
      <c r="A3" s="35" t="s">
        <v>48</v>
      </c>
      <c r="B3" s="36">
        <v>46144</v>
      </c>
      <c r="C3" s="53" t="s">
        <v>463</v>
      </c>
      <c r="D3" s="52" t="s">
        <v>206</v>
      </c>
      <c r="E3" s="52" t="s">
        <v>657</v>
      </c>
      <c r="F3" s="52" t="s">
        <v>470</v>
      </c>
      <c r="G3" s="35" t="str">
        <f t="shared" ref="G3:G28" si="0">IF(C3="Sunday", "SUNDAY", IF(OR(D3=0, D3="", D3="0:0"), "ABSENT", IF(MOD(D3,1) &gt; TIME(9,45,0), "LATE", "OK")))</f>
        <v>OK</v>
      </c>
      <c r="H3" s="37">
        <f t="shared" ref="H3:H31" si="1">IF(OR(D3=0, D3="", E3=0, E3=""), 0, (E3-D3)-TIME(1,0,0))</f>
        <v>0.27569444444444446</v>
      </c>
      <c r="I3" s="38" t="str">
        <f>IF(VALUE(E3) &gt; TIME(19,0,0), TEXT(VALUE(E3) - TIME(19,0,0), "hh:mm"), "NO OT")</f>
        <v>NO OT</v>
      </c>
    </row>
    <row r="4" spans="1:11" s="54" customFormat="1" hidden="1" x14ac:dyDescent="0.2">
      <c r="A4" s="35" t="s">
        <v>48</v>
      </c>
      <c r="B4" s="36">
        <v>46145</v>
      </c>
      <c r="C4" s="55" t="s">
        <v>456</v>
      </c>
      <c r="D4" s="52"/>
      <c r="E4" s="52"/>
      <c r="F4" s="52"/>
      <c r="G4" s="55" t="str">
        <f t="shared" si="0"/>
        <v>SUNDAY</v>
      </c>
      <c r="H4" s="37">
        <f t="shared" si="1"/>
        <v>0</v>
      </c>
      <c r="I4" s="38" t="str">
        <f t="shared" ref="I4:I67" si="2">IF(VALUE(E4) &gt; TIME(19,0,0), TEXT(VALUE(E4) - TIME(19,0,0), "hh:mm"), "NO OT")</f>
        <v>NO OT</v>
      </c>
    </row>
    <row r="5" spans="1:11" s="54" customFormat="1" hidden="1" x14ac:dyDescent="0.2">
      <c r="A5" s="35" t="s">
        <v>48</v>
      </c>
      <c r="B5" s="36">
        <v>46146</v>
      </c>
      <c r="C5" s="53" t="s">
        <v>457</v>
      </c>
      <c r="D5" s="52" t="s">
        <v>12</v>
      </c>
      <c r="E5" s="52" t="s">
        <v>12</v>
      </c>
      <c r="F5" s="52" t="s">
        <v>12</v>
      </c>
      <c r="G5" s="55" t="str">
        <f t="shared" si="0"/>
        <v>ABSENT</v>
      </c>
      <c r="H5" s="37">
        <f t="shared" si="1"/>
        <v>-4.1666666666666664E-2</v>
      </c>
      <c r="I5" s="38" t="str">
        <f t="shared" si="2"/>
        <v>NO OT</v>
      </c>
    </row>
    <row r="6" spans="1:11" s="54" customFormat="1" hidden="1" x14ac:dyDescent="0.2">
      <c r="A6" s="35" t="s">
        <v>48</v>
      </c>
      <c r="B6" s="36">
        <v>46147</v>
      </c>
      <c r="C6" s="53" t="s">
        <v>458</v>
      </c>
      <c r="D6" s="52" t="s">
        <v>514</v>
      </c>
      <c r="E6" s="52" t="s">
        <v>311</v>
      </c>
      <c r="F6" s="52" t="s">
        <v>497</v>
      </c>
      <c r="G6" s="35" t="str">
        <f t="shared" si="0"/>
        <v>LATE</v>
      </c>
      <c r="H6" s="37">
        <f t="shared" si="1"/>
        <v>0.31736111111111115</v>
      </c>
      <c r="I6" s="38" t="str">
        <f t="shared" si="2"/>
        <v>NO OT</v>
      </c>
    </row>
    <row r="7" spans="1:11" s="54" customFormat="1" hidden="1" x14ac:dyDescent="0.2">
      <c r="A7" s="35" t="s">
        <v>48</v>
      </c>
      <c r="B7" s="36">
        <v>46148</v>
      </c>
      <c r="C7" s="53" t="s">
        <v>459</v>
      </c>
      <c r="D7" s="52" t="s">
        <v>494</v>
      </c>
      <c r="E7" s="52" t="s">
        <v>274</v>
      </c>
      <c r="F7" s="52" t="s">
        <v>335</v>
      </c>
      <c r="G7" s="35" t="str">
        <f t="shared" si="0"/>
        <v>OK</v>
      </c>
      <c r="H7" s="37">
        <f t="shared" si="1"/>
        <v>0.31180555555555545</v>
      </c>
      <c r="I7" s="38" t="str">
        <f t="shared" si="2"/>
        <v>NO OT</v>
      </c>
    </row>
    <row r="8" spans="1:11" s="54" customFormat="1" hidden="1" x14ac:dyDescent="0.2">
      <c r="A8" s="35" t="s">
        <v>48</v>
      </c>
      <c r="B8" s="36">
        <v>46149</v>
      </c>
      <c r="C8" s="53" t="s">
        <v>460</v>
      </c>
      <c r="D8" s="52" t="s">
        <v>269</v>
      </c>
      <c r="E8" s="52" t="s">
        <v>368</v>
      </c>
      <c r="F8" s="52" t="s">
        <v>314</v>
      </c>
      <c r="G8" s="35" t="str">
        <f t="shared" si="0"/>
        <v>OK</v>
      </c>
      <c r="H8" s="37">
        <f t="shared" si="1"/>
        <v>0.3444444444444445</v>
      </c>
      <c r="I8" s="38" t="str">
        <f t="shared" si="2"/>
        <v>NO OT</v>
      </c>
    </row>
    <row r="9" spans="1:11" s="54" customFormat="1" hidden="1" x14ac:dyDescent="0.2">
      <c r="A9" s="35" t="s">
        <v>48</v>
      </c>
      <c r="B9" s="36">
        <v>46150</v>
      </c>
      <c r="C9" s="53" t="s">
        <v>461</v>
      </c>
      <c r="D9" s="52" t="s">
        <v>100</v>
      </c>
      <c r="E9" s="52" t="s">
        <v>190</v>
      </c>
      <c r="F9" s="52" t="s">
        <v>375</v>
      </c>
      <c r="G9" s="35" t="str">
        <f t="shared" si="0"/>
        <v>LATE</v>
      </c>
      <c r="H9" s="37">
        <f t="shared" si="1"/>
        <v>0.31319444444444444</v>
      </c>
      <c r="I9" s="38" t="str">
        <f t="shared" si="2"/>
        <v>NO OT</v>
      </c>
    </row>
    <row r="10" spans="1:11" s="54" customFormat="1" hidden="1" x14ac:dyDescent="0.2">
      <c r="A10" s="35" t="s">
        <v>48</v>
      </c>
      <c r="B10" s="36">
        <v>46151</v>
      </c>
      <c r="C10" s="53" t="s">
        <v>463</v>
      </c>
      <c r="D10" s="52" t="s">
        <v>272</v>
      </c>
      <c r="E10" s="52" t="s">
        <v>658</v>
      </c>
      <c r="F10" s="52" t="s">
        <v>571</v>
      </c>
      <c r="G10" s="35" t="str">
        <f t="shared" si="0"/>
        <v>OK</v>
      </c>
      <c r="H10" s="37">
        <f t="shared" si="1"/>
        <v>0.37013888888888891</v>
      </c>
      <c r="I10" s="48" t="str">
        <f t="shared" si="2"/>
        <v>00:19</v>
      </c>
      <c r="K10" s="54">
        <v>60</v>
      </c>
    </row>
    <row r="11" spans="1:11" s="54" customFormat="1" hidden="1" x14ac:dyDescent="0.2">
      <c r="A11" s="35" t="s">
        <v>48</v>
      </c>
      <c r="B11" s="36">
        <v>46152</v>
      </c>
      <c r="C11" s="55" t="s">
        <v>456</v>
      </c>
      <c r="D11" s="52"/>
      <c r="E11" s="52"/>
      <c r="F11" s="52"/>
      <c r="G11" s="55" t="str">
        <f t="shared" si="0"/>
        <v>SUNDAY</v>
      </c>
      <c r="H11" s="37">
        <f t="shared" si="1"/>
        <v>0</v>
      </c>
      <c r="I11" s="38" t="str">
        <f t="shared" si="2"/>
        <v>NO OT</v>
      </c>
      <c r="K11" s="54">
        <v>52</v>
      </c>
    </row>
    <row r="12" spans="1:11" s="54" customFormat="1" hidden="1" x14ac:dyDescent="0.2">
      <c r="A12" s="35" t="s">
        <v>48</v>
      </c>
      <c r="B12" s="36">
        <v>46153</v>
      </c>
      <c r="C12" s="53" t="s">
        <v>457</v>
      </c>
      <c r="D12" s="52" t="s">
        <v>450</v>
      </c>
      <c r="E12" s="52" t="s">
        <v>659</v>
      </c>
      <c r="F12" s="52" t="s">
        <v>660</v>
      </c>
      <c r="G12" s="35" t="str">
        <f t="shared" si="0"/>
        <v>OK</v>
      </c>
      <c r="H12" s="37">
        <f t="shared" si="1"/>
        <v>0.39166666666666666</v>
      </c>
      <c r="I12" s="48" t="str">
        <f t="shared" si="2"/>
        <v>00:38</v>
      </c>
      <c r="K12" s="54">
        <v>38</v>
      </c>
    </row>
    <row r="13" spans="1:11" s="54" customFormat="1" hidden="1" x14ac:dyDescent="0.2">
      <c r="A13" s="35" t="s">
        <v>48</v>
      </c>
      <c r="B13" s="36">
        <v>46154</v>
      </c>
      <c r="C13" s="53" t="s">
        <v>458</v>
      </c>
      <c r="D13" s="52" t="s">
        <v>282</v>
      </c>
      <c r="E13" s="52" t="s">
        <v>346</v>
      </c>
      <c r="F13" s="52" t="s">
        <v>420</v>
      </c>
      <c r="G13" s="35" t="str">
        <f t="shared" si="0"/>
        <v>OK</v>
      </c>
      <c r="H13" s="37">
        <f t="shared" si="1"/>
        <v>0.34722222222222221</v>
      </c>
      <c r="I13" s="38" t="str">
        <f t="shared" si="2"/>
        <v>NO OT</v>
      </c>
      <c r="K13" s="54">
        <v>19</v>
      </c>
    </row>
    <row r="14" spans="1:11" s="54" customFormat="1" hidden="1" x14ac:dyDescent="0.2">
      <c r="A14" s="35" t="s">
        <v>48</v>
      </c>
      <c r="B14" s="36">
        <v>46155</v>
      </c>
      <c r="C14" s="53" t="s">
        <v>459</v>
      </c>
      <c r="D14" s="52" t="s">
        <v>272</v>
      </c>
      <c r="E14" s="52" t="s">
        <v>661</v>
      </c>
      <c r="F14" s="52" t="s">
        <v>662</v>
      </c>
      <c r="G14" s="35" t="str">
        <f t="shared" si="0"/>
        <v>OK</v>
      </c>
      <c r="H14" s="37">
        <f t="shared" si="1"/>
        <v>0.43472222222222223</v>
      </c>
      <c r="I14" s="48" t="str">
        <f t="shared" si="2"/>
        <v>01:52</v>
      </c>
    </row>
    <row r="15" spans="1:11" s="54" customFormat="1" hidden="1" x14ac:dyDescent="0.2">
      <c r="A15" s="35" t="s">
        <v>48</v>
      </c>
      <c r="B15" s="36">
        <v>46156</v>
      </c>
      <c r="C15" s="53" t="s">
        <v>460</v>
      </c>
      <c r="D15" s="52" t="s">
        <v>205</v>
      </c>
      <c r="E15" s="52" t="s">
        <v>353</v>
      </c>
      <c r="F15" s="52" t="s">
        <v>654</v>
      </c>
      <c r="G15" s="35" t="str">
        <f t="shared" si="0"/>
        <v>OK</v>
      </c>
      <c r="H15" s="37">
        <f t="shared" si="1"/>
        <v>0.35555555555555551</v>
      </c>
      <c r="I15" s="38" t="str">
        <f t="shared" si="2"/>
        <v>NO OT</v>
      </c>
    </row>
    <row r="16" spans="1:11" s="54" customFormat="1" hidden="1" x14ac:dyDescent="0.2">
      <c r="A16" s="35" t="s">
        <v>48</v>
      </c>
      <c r="B16" s="36">
        <v>46157</v>
      </c>
      <c r="C16" s="53" t="s">
        <v>461</v>
      </c>
      <c r="D16" s="52" t="s">
        <v>364</v>
      </c>
      <c r="E16" s="52" t="s">
        <v>203</v>
      </c>
      <c r="F16" s="52" t="s">
        <v>299</v>
      </c>
      <c r="G16" s="35" t="str">
        <f t="shared" si="0"/>
        <v>OK</v>
      </c>
      <c r="H16" s="37">
        <f t="shared" si="1"/>
        <v>0.35277777777777775</v>
      </c>
      <c r="I16" s="38" t="str">
        <f t="shared" si="2"/>
        <v>NO OT</v>
      </c>
    </row>
    <row r="17" spans="1:9" s="54" customFormat="1" hidden="1" x14ac:dyDescent="0.2">
      <c r="A17" s="35" t="s">
        <v>48</v>
      </c>
      <c r="B17" s="36">
        <v>46158</v>
      </c>
      <c r="C17" s="53" t="s">
        <v>463</v>
      </c>
      <c r="D17" s="52" t="s">
        <v>199</v>
      </c>
      <c r="E17" s="52" t="s">
        <v>12</v>
      </c>
      <c r="F17" s="52" t="s">
        <v>188</v>
      </c>
      <c r="G17" s="35" t="str">
        <f t="shared" si="0"/>
        <v>LATE</v>
      </c>
      <c r="H17" s="37">
        <f t="shared" si="1"/>
        <v>-0.45069444444444445</v>
      </c>
      <c r="I17" s="38" t="str">
        <f t="shared" si="2"/>
        <v>NO OT</v>
      </c>
    </row>
    <row r="18" spans="1:9" s="54" customFormat="1" hidden="1" x14ac:dyDescent="0.2">
      <c r="A18" s="35" t="s">
        <v>48</v>
      </c>
      <c r="B18" s="36">
        <v>46159</v>
      </c>
      <c r="C18" s="55" t="s">
        <v>456</v>
      </c>
      <c r="D18" s="52"/>
      <c r="E18" s="52"/>
      <c r="F18" s="52"/>
      <c r="G18" s="55" t="str">
        <f t="shared" si="0"/>
        <v>SUNDAY</v>
      </c>
      <c r="H18" s="37">
        <f t="shared" si="1"/>
        <v>0</v>
      </c>
      <c r="I18" s="38" t="str">
        <f t="shared" si="2"/>
        <v>NO OT</v>
      </c>
    </row>
    <row r="19" spans="1:9" s="54" customFormat="1" hidden="1" x14ac:dyDescent="0.2">
      <c r="A19" s="35" t="s">
        <v>48</v>
      </c>
      <c r="B19" s="36">
        <v>46160</v>
      </c>
      <c r="C19" s="53" t="s">
        <v>457</v>
      </c>
      <c r="D19" s="52" t="s">
        <v>182</v>
      </c>
      <c r="E19" s="52" t="s">
        <v>193</v>
      </c>
      <c r="F19" s="52" t="s">
        <v>331</v>
      </c>
      <c r="G19" s="35" t="str">
        <f t="shared" si="0"/>
        <v>LATE</v>
      </c>
      <c r="H19" s="37">
        <f t="shared" si="1"/>
        <v>0.31111111111111112</v>
      </c>
      <c r="I19" s="38" t="str">
        <f t="shared" si="2"/>
        <v>NO OT</v>
      </c>
    </row>
    <row r="20" spans="1:9" s="54" customFormat="1" hidden="1" x14ac:dyDescent="0.2">
      <c r="A20" s="35" t="s">
        <v>48</v>
      </c>
      <c r="B20" s="36">
        <v>46161</v>
      </c>
      <c r="C20" s="53" t="s">
        <v>458</v>
      </c>
      <c r="D20" s="52" t="s">
        <v>255</v>
      </c>
      <c r="E20" s="52" t="s">
        <v>602</v>
      </c>
      <c r="F20" s="52" t="s">
        <v>355</v>
      </c>
      <c r="G20" s="35" t="str">
        <f t="shared" si="0"/>
        <v>OK</v>
      </c>
      <c r="H20" s="37">
        <f t="shared" si="1"/>
        <v>0.3347222222222222</v>
      </c>
      <c r="I20" s="38" t="str">
        <f t="shared" si="2"/>
        <v>NO OT</v>
      </c>
    </row>
    <row r="21" spans="1:9" s="54" customFormat="1" hidden="1" x14ac:dyDescent="0.2">
      <c r="A21" s="35" t="s">
        <v>48</v>
      </c>
      <c r="B21" s="36">
        <v>46162</v>
      </c>
      <c r="C21" s="53" t="s">
        <v>459</v>
      </c>
      <c r="D21" s="52" t="s">
        <v>253</v>
      </c>
      <c r="E21" s="52" t="s">
        <v>353</v>
      </c>
      <c r="F21" s="52" t="s">
        <v>257</v>
      </c>
      <c r="G21" s="35" t="str">
        <f t="shared" si="0"/>
        <v>LATE</v>
      </c>
      <c r="H21" s="37">
        <f t="shared" si="1"/>
        <v>0.3298611111111111</v>
      </c>
      <c r="I21" s="38" t="str">
        <f t="shared" si="2"/>
        <v>NO OT</v>
      </c>
    </row>
    <row r="22" spans="1:9" s="54" customFormat="1" hidden="1" x14ac:dyDescent="0.2">
      <c r="A22" s="35" t="s">
        <v>48</v>
      </c>
      <c r="B22" s="36">
        <v>46163</v>
      </c>
      <c r="C22" s="53" t="s">
        <v>460</v>
      </c>
      <c r="D22" s="52" t="s">
        <v>189</v>
      </c>
      <c r="E22" s="52" t="s">
        <v>217</v>
      </c>
      <c r="F22" s="52" t="s">
        <v>221</v>
      </c>
      <c r="G22" s="35" t="str">
        <f t="shared" si="0"/>
        <v>OK</v>
      </c>
      <c r="H22" s="37">
        <f t="shared" si="1"/>
        <v>0.33333333333333337</v>
      </c>
      <c r="I22" s="38" t="str">
        <f t="shared" si="2"/>
        <v>NO OT</v>
      </c>
    </row>
    <row r="23" spans="1:9" s="54" customFormat="1" hidden="1" x14ac:dyDescent="0.2">
      <c r="A23" s="35" t="s">
        <v>48</v>
      </c>
      <c r="B23" s="36">
        <v>46164</v>
      </c>
      <c r="C23" s="53" t="s">
        <v>461</v>
      </c>
      <c r="D23" s="52" t="s">
        <v>202</v>
      </c>
      <c r="E23" s="52" t="s">
        <v>259</v>
      </c>
      <c r="F23" s="52" t="s">
        <v>365</v>
      </c>
      <c r="G23" s="35" t="str">
        <f t="shared" si="0"/>
        <v>OK</v>
      </c>
      <c r="H23" s="37">
        <f t="shared" si="1"/>
        <v>0.3354166666666667</v>
      </c>
      <c r="I23" s="38" t="str">
        <f t="shared" si="2"/>
        <v>NO OT</v>
      </c>
    </row>
    <row r="24" spans="1:9" s="54" customFormat="1" hidden="1" x14ac:dyDescent="0.2">
      <c r="A24" s="35" t="s">
        <v>48</v>
      </c>
      <c r="B24" s="36">
        <v>46165</v>
      </c>
      <c r="C24" s="53" t="s">
        <v>463</v>
      </c>
      <c r="D24" s="52" t="s">
        <v>253</v>
      </c>
      <c r="E24" s="52" t="s">
        <v>214</v>
      </c>
      <c r="F24" s="52" t="s">
        <v>226</v>
      </c>
      <c r="G24" s="35" t="str">
        <f t="shared" si="0"/>
        <v>LATE</v>
      </c>
      <c r="H24" s="37">
        <f t="shared" si="1"/>
        <v>0.31527777777777771</v>
      </c>
      <c r="I24" s="38" t="str">
        <f t="shared" si="2"/>
        <v>NO OT</v>
      </c>
    </row>
    <row r="25" spans="1:9" s="54" customFormat="1" hidden="1" x14ac:dyDescent="0.2">
      <c r="A25" s="35" t="s">
        <v>48</v>
      </c>
      <c r="B25" s="36">
        <v>46166</v>
      </c>
      <c r="C25" s="55" t="s">
        <v>456</v>
      </c>
      <c r="D25" s="52"/>
      <c r="E25" s="52"/>
      <c r="F25" s="52"/>
      <c r="G25" s="55" t="str">
        <f t="shared" si="0"/>
        <v>SUNDAY</v>
      </c>
      <c r="H25" s="37">
        <f t="shared" si="1"/>
        <v>0</v>
      </c>
      <c r="I25" s="38" t="str">
        <f t="shared" si="2"/>
        <v>NO OT</v>
      </c>
    </row>
    <row r="26" spans="1:9" s="54" customFormat="1" hidden="1" x14ac:dyDescent="0.2">
      <c r="A26" s="35" t="s">
        <v>48</v>
      </c>
      <c r="B26" s="36">
        <v>46167</v>
      </c>
      <c r="C26" s="53" t="s">
        <v>457</v>
      </c>
      <c r="D26" s="52" t="s">
        <v>240</v>
      </c>
      <c r="E26" s="52" t="s">
        <v>254</v>
      </c>
      <c r="F26" s="52" t="s">
        <v>307</v>
      </c>
      <c r="G26" s="35" t="str">
        <f t="shared" si="0"/>
        <v>OK</v>
      </c>
      <c r="H26" s="37">
        <f t="shared" si="1"/>
        <v>0.3305555555555556</v>
      </c>
      <c r="I26" s="38" t="str">
        <f t="shared" si="2"/>
        <v>NO OT</v>
      </c>
    </row>
    <row r="27" spans="1:9" s="54" customFormat="1" hidden="1" x14ac:dyDescent="0.2">
      <c r="A27" s="35" t="s">
        <v>48</v>
      </c>
      <c r="B27" s="36">
        <v>46168</v>
      </c>
      <c r="C27" s="53" t="s">
        <v>458</v>
      </c>
      <c r="D27" s="52" t="s">
        <v>330</v>
      </c>
      <c r="E27" s="52" t="s">
        <v>190</v>
      </c>
      <c r="F27" s="52" t="s">
        <v>352</v>
      </c>
      <c r="G27" s="35" t="str">
        <f t="shared" si="0"/>
        <v>LATE</v>
      </c>
      <c r="H27" s="37">
        <f t="shared" si="1"/>
        <v>0.31458333333333338</v>
      </c>
      <c r="I27" s="38" t="str">
        <f t="shared" si="2"/>
        <v>NO OT</v>
      </c>
    </row>
    <row r="28" spans="1:9" s="54" customFormat="1" hidden="1" x14ac:dyDescent="0.2">
      <c r="A28" s="35" t="s">
        <v>48</v>
      </c>
      <c r="B28" s="36">
        <v>46169</v>
      </c>
      <c r="C28" s="53" t="s">
        <v>459</v>
      </c>
      <c r="D28" s="52" t="s">
        <v>371</v>
      </c>
      <c r="E28" s="52" t="s">
        <v>340</v>
      </c>
      <c r="F28" s="52" t="s">
        <v>275</v>
      </c>
      <c r="G28" s="35" t="str">
        <f t="shared" si="0"/>
        <v>OK</v>
      </c>
      <c r="H28" s="37">
        <f t="shared" si="1"/>
        <v>0.30972222222222212</v>
      </c>
      <c r="I28" s="38" t="str">
        <f t="shared" si="2"/>
        <v>NO OT</v>
      </c>
    </row>
    <row r="29" spans="1:9" s="54" customFormat="1" hidden="1" x14ac:dyDescent="0.2">
      <c r="A29" s="35" t="s">
        <v>48</v>
      </c>
      <c r="B29" s="36">
        <v>46170</v>
      </c>
      <c r="C29" s="53" t="s">
        <v>460</v>
      </c>
      <c r="D29" s="52"/>
      <c r="E29" s="52"/>
      <c r="F29" s="52"/>
      <c r="G29" s="55" t="s">
        <v>721</v>
      </c>
      <c r="H29" s="37">
        <f t="shared" si="1"/>
        <v>0</v>
      </c>
      <c r="I29" s="38" t="str">
        <f t="shared" si="2"/>
        <v>NO OT</v>
      </c>
    </row>
    <row r="30" spans="1:9" s="54" customFormat="1" hidden="1" x14ac:dyDescent="0.2">
      <c r="A30" s="35" t="s">
        <v>48</v>
      </c>
      <c r="B30" s="36">
        <v>46171</v>
      </c>
      <c r="C30" s="53" t="s">
        <v>461</v>
      </c>
      <c r="D30" s="52"/>
      <c r="E30" s="52"/>
      <c r="F30" s="52"/>
      <c r="G30" s="55" t="s">
        <v>721</v>
      </c>
      <c r="H30" s="37">
        <f t="shared" si="1"/>
        <v>0</v>
      </c>
      <c r="I30" s="38" t="str">
        <f t="shared" si="2"/>
        <v>NO OT</v>
      </c>
    </row>
    <row r="31" spans="1:9" s="54" customFormat="1" hidden="1" x14ac:dyDescent="0.2">
      <c r="A31" s="35" t="s">
        <v>48</v>
      </c>
      <c r="B31" s="36">
        <v>46172</v>
      </c>
      <c r="C31" s="53" t="s">
        <v>463</v>
      </c>
      <c r="D31" s="52"/>
      <c r="E31" s="52"/>
      <c r="F31" s="52"/>
      <c r="G31" s="55" t="s">
        <v>721</v>
      </c>
      <c r="H31" s="37">
        <f t="shared" si="1"/>
        <v>0</v>
      </c>
      <c r="I31" s="38" t="str">
        <f t="shared" si="2"/>
        <v>NO OT</v>
      </c>
    </row>
    <row r="32" spans="1:9" s="54" customFormat="1" hidden="1" x14ac:dyDescent="0.2">
      <c r="A32" s="35" t="s">
        <v>48</v>
      </c>
      <c r="B32" s="36">
        <v>46173</v>
      </c>
      <c r="C32" s="55" t="s">
        <v>456</v>
      </c>
      <c r="D32" s="52"/>
      <c r="E32" s="52"/>
      <c r="F32" s="52"/>
      <c r="G32" s="55" t="str">
        <f t="shared" ref="G32:G95" si="3">IF(C32="Sunday", "SUNDAY", IF(OR(D32=0, D32="", D32="0:0"), "ABSENT", IF(MOD(D32,1) &gt; TIME(9,45,0), "LATE", "OK")))</f>
        <v>SUNDAY</v>
      </c>
      <c r="H32" s="37">
        <f t="shared" ref="H32:H95" si="4">IF(OR(D32=0, D32="", E32=0, E32=""), 0, (E32-D32)-TIME(1,0,0))</f>
        <v>0</v>
      </c>
      <c r="I32" s="38" t="str">
        <f t="shared" si="2"/>
        <v>NO OT</v>
      </c>
    </row>
    <row r="33" spans="1:9" s="54" customFormat="1" hidden="1" x14ac:dyDescent="0.2">
      <c r="A33" s="35" t="s">
        <v>49</v>
      </c>
      <c r="B33" s="36">
        <v>46143</v>
      </c>
      <c r="C33" s="53" t="s">
        <v>461</v>
      </c>
      <c r="D33" s="52" t="s">
        <v>282</v>
      </c>
      <c r="E33" s="52" t="s">
        <v>259</v>
      </c>
      <c r="F33" s="52" t="s">
        <v>204</v>
      </c>
      <c r="G33" s="35" t="str">
        <f t="shared" si="3"/>
        <v>OK</v>
      </c>
      <c r="H33" s="37">
        <f t="shared" si="4"/>
        <v>0.34097222222222223</v>
      </c>
      <c r="I33" s="38" t="str">
        <f t="shared" si="2"/>
        <v>NO OT</v>
      </c>
    </row>
    <row r="34" spans="1:9" s="54" customFormat="1" hidden="1" x14ac:dyDescent="0.2">
      <c r="A34" s="35" t="s">
        <v>49</v>
      </c>
      <c r="B34" s="36">
        <v>46144</v>
      </c>
      <c r="C34" s="53" t="s">
        <v>463</v>
      </c>
      <c r="D34" s="52" t="s">
        <v>258</v>
      </c>
      <c r="E34" s="52" t="s">
        <v>209</v>
      </c>
      <c r="F34" s="52" t="s">
        <v>355</v>
      </c>
      <c r="G34" s="35" t="str">
        <f t="shared" si="3"/>
        <v>OK</v>
      </c>
      <c r="H34" s="37">
        <f t="shared" si="4"/>
        <v>0.33472222222222225</v>
      </c>
      <c r="I34" s="38" t="str">
        <f t="shared" si="2"/>
        <v>NO OT</v>
      </c>
    </row>
    <row r="35" spans="1:9" s="54" customFormat="1" hidden="1" x14ac:dyDescent="0.2">
      <c r="A35" s="35" t="s">
        <v>49</v>
      </c>
      <c r="B35" s="36">
        <v>46145</v>
      </c>
      <c r="C35" s="55" t="s">
        <v>456</v>
      </c>
      <c r="D35" s="52"/>
      <c r="E35" s="52"/>
      <c r="F35" s="52"/>
      <c r="G35" s="55" t="str">
        <f t="shared" si="3"/>
        <v>SUNDAY</v>
      </c>
      <c r="H35" s="37">
        <f t="shared" si="4"/>
        <v>0</v>
      </c>
      <c r="I35" s="38" t="str">
        <f t="shared" si="2"/>
        <v>NO OT</v>
      </c>
    </row>
    <row r="36" spans="1:9" s="54" customFormat="1" hidden="1" x14ac:dyDescent="0.2">
      <c r="A36" s="35" t="s">
        <v>49</v>
      </c>
      <c r="B36" s="36">
        <v>46146</v>
      </c>
      <c r="C36" s="53" t="s">
        <v>457</v>
      </c>
      <c r="D36" s="52" t="s">
        <v>64</v>
      </c>
      <c r="E36" s="52" t="s">
        <v>12</v>
      </c>
      <c r="F36" s="52" t="s">
        <v>188</v>
      </c>
      <c r="G36" s="35" t="str">
        <f t="shared" si="3"/>
        <v>LATE</v>
      </c>
      <c r="H36" s="37">
        <f t="shared" si="4"/>
        <v>-0.50902777777777775</v>
      </c>
      <c r="I36" s="38" t="str">
        <f t="shared" si="2"/>
        <v>NO OT</v>
      </c>
    </row>
    <row r="37" spans="1:9" s="54" customFormat="1" hidden="1" x14ac:dyDescent="0.2">
      <c r="A37" s="35" t="s">
        <v>49</v>
      </c>
      <c r="B37" s="36">
        <v>46147</v>
      </c>
      <c r="C37" s="53" t="s">
        <v>458</v>
      </c>
      <c r="D37" s="52" t="s">
        <v>142</v>
      </c>
      <c r="E37" s="52" t="s">
        <v>223</v>
      </c>
      <c r="F37" s="52" t="s">
        <v>326</v>
      </c>
      <c r="G37" s="35" t="str">
        <f t="shared" si="3"/>
        <v>LATE</v>
      </c>
      <c r="H37" s="37">
        <f t="shared" si="4"/>
        <v>0.31388888888888877</v>
      </c>
      <c r="I37" s="38" t="str">
        <f t="shared" si="2"/>
        <v>NO OT</v>
      </c>
    </row>
    <row r="38" spans="1:9" s="54" customFormat="1" hidden="1" x14ac:dyDescent="0.2">
      <c r="A38" s="35" t="s">
        <v>49</v>
      </c>
      <c r="B38" s="36">
        <v>46148</v>
      </c>
      <c r="C38" s="53" t="s">
        <v>459</v>
      </c>
      <c r="D38" s="52" t="s">
        <v>403</v>
      </c>
      <c r="E38" s="52" t="s">
        <v>190</v>
      </c>
      <c r="F38" s="52" t="s">
        <v>520</v>
      </c>
      <c r="G38" s="35" t="str">
        <f t="shared" si="3"/>
        <v>OK</v>
      </c>
      <c r="H38" s="37">
        <f t="shared" si="4"/>
        <v>0.34513888888888888</v>
      </c>
      <c r="I38" s="38" t="str">
        <f t="shared" si="2"/>
        <v>NO OT</v>
      </c>
    </row>
    <row r="39" spans="1:9" s="54" customFormat="1" hidden="1" x14ac:dyDescent="0.2">
      <c r="A39" s="35" t="s">
        <v>49</v>
      </c>
      <c r="B39" s="36">
        <v>46149</v>
      </c>
      <c r="C39" s="53" t="s">
        <v>460</v>
      </c>
      <c r="D39" s="52" t="s">
        <v>279</v>
      </c>
      <c r="E39" s="52" t="s">
        <v>312</v>
      </c>
      <c r="F39" s="52" t="s">
        <v>663</v>
      </c>
      <c r="G39" s="35" t="str">
        <f t="shared" si="3"/>
        <v>OK</v>
      </c>
      <c r="H39" s="37">
        <f t="shared" si="4"/>
        <v>0.35902777777777772</v>
      </c>
      <c r="I39" s="38" t="str">
        <f t="shared" si="2"/>
        <v>NO OT</v>
      </c>
    </row>
    <row r="40" spans="1:9" s="54" customFormat="1" hidden="1" x14ac:dyDescent="0.2">
      <c r="A40" s="35" t="s">
        <v>49</v>
      </c>
      <c r="B40" s="36">
        <v>46150</v>
      </c>
      <c r="C40" s="53" t="s">
        <v>461</v>
      </c>
      <c r="D40" s="52" t="s">
        <v>260</v>
      </c>
      <c r="E40" s="52" t="s">
        <v>333</v>
      </c>
      <c r="F40" s="52" t="s">
        <v>355</v>
      </c>
      <c r="G40" s="35" t="str">
        <f t="shared" si="3"/>
        <v>OK</v>
      </c>
      <c r="H40" s="37">
        <f t="shared" si="4"/>
        <v>0.33472222222222225</v>
      </c>
      <c r="I40" s="38" t="str">
        <f t="shared" si="2"/>
        <v>NO OT</v>
      </c>
    </row>
    <row r="41" spans="1:9" s="54" customFormat="1" hidden="1" x14ac:dyDescent="0.2">
      <c r="A41" s="35" t="s">
        <v>49</v>
      </c>
      <c r="B41" s="36">
        <v>46151</v>
      </c>
      <c r="C41" s="53" t="s">
        <v>463</v>
      </c>
      <c r="D41" s="52" t="s">
        <v>288</v>
      </c>
      <c r="E41" s="52" t="s">
        <v>339</v>
      </c>
      <c r="F41" s="52" t="s">
        <v>373</v>
      </c>
      <c r="G41" s="35" t="str">
        <f t="shared" si="3"/>
        <v>OK</v>
      </c>
      <c r="H41" s="37">
        <f t="shared" si="4"/>
        <v>0.32638888888888895</v>
      </c>
      <c r="I41" s="38" t="str">
        <f t="shared" si="2"/>
        <v>NO OT</v>
      </c>
    </row>
    <row r="42" spans="1:9" s="54" customFormat="1" hidden="1" x14ac:dyDescent="0.2">
      <c r="A42" s="35" t="s">
        <v>49</v>
      </c>
      <c r="B42" s="36">
        <v>46152</v>
      </c>
      <c r="C42" s="55" t="s">
        <v>456</v>
      </c>
      <c r="D42" s="52"/>
      <c r="E42" s="52"/>
      <c r="F42" s="52"/>
      <c r="G42" s="55" t="str">
        <f t="shared" si="3"/>
        <v>SUNDAY</v>
      </c>
      <c r="H42" s="37">
        <f t="shared" si="4"/>
        <v>0</v>
      </c>
      <c r="I42" s="38" t="str">
        <f t="shared" si="2"/>
        <v>NO OT</v>
      </c>
    </row>
    <row r="43" spans="1:9" s="54" customFormat="1" hidden="1" x14ac:dyDescent="0.2">
      <c r="A43" s="35" t="s">
        <v>49</v>
      </c>
      <c r="B43" s="36">
        <v>46153</v>
      </c>
      <c r="C43" s="53" t="s">
        <v>457</v>
      </c>
      <c r="D43" s="52" t="s">
        <v>664</v>
      </c>
      <c r="E43" s="52" t="s">
        <v>665</v>
      </c>
      <c r="F43" s="52" t="s">
        <v>321</v>
      </c>
      <c r="G43" s="35" t="str">
        <f t="shared" si="3"/>
        <v>LATE</v>
      </c>
      <c r="H43" s="37">
        <f t="shared" si="4"/>
        <v>0.31597222222222221</v>
      </c>
      <c r="I43" s="48" t="str">
        <f t="shared" si="2"/>
        <v>00:41</v>
      </c>
    </row>
    <row r="44" spans="1:9" s="54" customFormat="1" hidden="1" x14ac:dyDescent="0.2">
      <c r="A44" s="35" t="s">
        <v>49</v>
      </c>
      <c r="B44" s="36">
        <v>46154</v>
      </c>
      <c r="C44" s="53" t="s">
        <v>458</v>
      </c>
      <c r="D44" s="52" t="s">
        <v>666</v>
      </c>
      <c r="E44" s="52" t="s">
        <v>389</v>
      </c>
      <c r="F44" s="52" t="s">
        <v>667</v>
      </c>
      <c r="G44" s="35" t="str">
        <f t="shared" si="3"/>
        <v>LATE</v>
      </c>
      <c r="H44" s="37">
        <f t="shared" si="4"/>
        <v>0.13611111111111104</v>
      </c>
      <c r="I44" s="38" t="str">
        <f t="shared" si="2"/>
        <v>NO OT</v>
      </c>
    </row>
    <row r="45" spans="1:9" s="54" customFormat="1" hidden="1" x14ac:dyDescent="0.2">
      <c r="A45" s="35" t="s">
        <v>49</v>
      </c>
      <c r="B45" s="36">
        <v>46155</v>
      </c>
      <c r="C45" s="53" t="s">
        <v>459</v>
      </c>
      <c r="D45" s="52" t="s">
        <v>161</v>
      </c>
      <c r="E45" s="52" t="s">
        <v>12</v>
      </c>
      <c r="F45" s="52" t="s">
        <v>188</v>
      </c>
      <c r="G45" s="35" t="str">
        <f t="shared" si="3"/>
        <v>LATE</v>
      </c>
      <c r="H45" s="37">
        <f t="shared" si="4"/>
        <v>-0.45972222222222225</v>
      </c>
      <c r="I45" s="38" t="str">
        <f t="shared" si="2"/>
        <v>NO OT</v>
      </c>
    </row>
    <row r="46" spans="1:9" s="54" customFormat="1" hidden="1" x14ac:dyDescent="0.2">
      <c r="A46" s="35" t="s">
        <v>49</v>
      </c>
      <c r="B46" s="36">
        <v>46156</v>
      </c>
      <c r="C46" s="53" t="s">
        <v>460</v>
      </c>
      <c r="D46" s="52" t="s">
        <v>494</v>
      </c>
      <c r="E46" s="52" t="s">
        <v>286</v>
      </c>
      <c r="F46" s="52" t="s">
        <v>235</v>
      </c>
      <c r="G46" s="35" t="str">
        <f t="shared" si="3"/>
        <v>OK</v>
      </c>
      <c r="H46" s="37">
        <f t="shared" si="4"/>
        <v>0.27222222222222214</v>
      </c>
      <c r="I46" s="38" t="str">
        <f t="shared" si="2"/>
        <v>NO OT</v>
      </c>
    </row>
    <row r="47" spans="1:9" s="54" customFormat="1" hidden="1" x14ac:dyDescent="0.2">
      <c r="A47" s="35" t="s">
        <v>49</v>
      </c>
      <c r="B47" s="36">
        <v>46157</v>
      </c>
      <c r="C47" s="53" t="s">
        <v>461</v>
      </c>
      <c r="D47" s="52" t="s">
        <v>12</v>
      </c>
      <c r="E47" s="52" t="s">
        <v>12</v>
      </c>
      <c r="F47" s="52" t="s">
        <v>12</v>
      </c>
      <c r="G47" s="55" t="str">
        <f t="shared" si="3"/>
        <v>ABSENT</v>
      </c>
      <c r="H47" s="37">
        <f t="shared" si="4"/>
        <v>-4.1666666666666664E-2</v>
      </c>
      <c r="I47" s="38" t="str">
        <f t="shared" si="2"/>
        <v>NO OT</v>
      </c>
    </row>
    <row r="48" spans="1:9" s="54" customFormat="1" hidden="1" x14ac:dyDescent="0.2">
      <c r="A48" s="35" t="s">
        <v>49</v>
      </c>
      <c r="B48" s="36">
        <v>46158</v>
      </c>
      <c r="C48" s="53" t="s">
        <v>463</v>
      </c>
      <c r="D48" s="52" t="s">
        <v>202</v>
      </c>
      <c r="E48" s="52" t="s">
        <v>220</v>
      </c>
      <c r="F48" s="52" t="s">
        <v>612</v>
      </c>
      <c r="G48" s="35" t="str">
        <f t="shared" si="3"/>
        <v>OK</v>
      </c>
      <c r="H48" s="37">
        <f t="shared" si="4"/>
        <v>0.33819444444444446</v>
      </c>
      <c r="I48" s="38" t="str">
        <f t="shared" si="2"/>
        <v>NO OT</v>
      </c>
    </row>
    <row r="49" spans="1:9" s="54" customFormat="1" hidden="1" x14ac:dyDescent="0.2">
      <c r="A49" s="35" t="s">
        <v>49</v>
      </c>
      <c r="B49" s="36">
        <v>46159</v>
      </c>
      <c r="C49" s="55" t="s">
        <v>456</v>
      </c>
      <c r="D49" s="52"/>
      <c r="E49" s="52"/>
      <c r="F49" s="52"/>
      <c r="G49" s="55" t="str">
        <f t="shared" si="3"/>
        <v>SUNDAY</v>
      </c>
      <c r="H49" s="37">
        <f t="shared" si="4"/>
        <v>0</v>
      </c>
      <c r="I49" s="38" t="str">
        <f t="shared" si="2"/>
        <v>NO OT</v>
      </c>
    </row>
    <row r="50" spans="1:9" s="54" customFormat="1" hidden="1" x14ac:dyDescent="0.2">
      <c r="A50" s="35" t="s">
        <v>49</v>
      </c>
      <c r="B50" s="36">
        <v>46160</v>
      </c>
      <c r="C50" s="53" t="s">
        <v>457</v>
      </c>
      <c r="D50" s="52" t="s">
        <v>288</v>
      </c>
      <c r="E50" s="52" t="s">
        <v>193</v>
      </c>
      <c r="F50" s="52" t="s">
        <v>420</v>
      </c>
      <c r="G50" s="35" t="str">
        <f t="shared" si="3"/>
        <v>OK</v>
      </c>
      <c r="H50" s="37">
        <f t="shared" si="4"/>
        <v>0.34722222222222221</v>
      </c>
      <c r="I50" s="38" t="str">
        <f t="shared" si="2"/>
        <v>NO OT</v>
      </c>
    </row>
    <row r="51" spans="1:9" s="54" customFormat="1" hidden="1" x14ac:dyDescent="0.2">
      <c r="A51" s="35" t="s">
        <v>49</v>
      </c>
      <c r="B51" s="36">
        <v>46161</v>
      </c>
      <c r="C51" s="53" t="s">
        <v>458</v>
      </c>
      <c r="D51" s="52" t="s">
        <v>205</v>
      </c>
      <c r="E51" s="52" t="s">
        <v>376</v>
      </c>
      <c r="F51" s="52" t="s">
        <v>642</v>
      </c>
      <c r="G51" s="35" t="str">
        <f t="shared" si="3"/>
        <v>OK</v>
      </c>
      <c r="H51" s="37">
        <f t="shared" si="4"/>
        <v>0.3569444444444444</v>
      </c>
      <c r="I51" s="38" t="str">
        <f t="shared" si="2"/>
        <v>NO OT</v>
      </c>
    </row>
    <row r="52" spans="1:9" s="54" customFormat="1" hidden="1" x14ac:dyDescent="0.2">
      <c r="A52" s="35" t="s">
        <v>49</v>
      </c>
      <c r="B52" s="36">
        <v>46162</v>
      </c>
      <c r="C52" s="53" t="s">
        <v>459</v>
      </c>
      <c r="D52" s="52" t="s">
        <v>450</v>
      </c>
      <c r="E52" s="52" t="s">
        <v>190</v>
      </c>
      <c r="F52" s="52" t="s">
        <v>304</v>
      </c>
      <c r="G52" s="35" t="str">
        <f t="shared" si="3"/>
        <v>OK</v>
      </c>
      <c r="H52" s="37">
        <f t="shared" si="4"/>
        <v>0.34583333333333338</v>
      </c>
      <c r="I52" s="38" t="str">
        <f t="shared" si="2"/>
        <v>NO OT</v>
      </c>
    </row>
    <row r="53" spans="1:9" s="54" customFormat="1" hidden="1" x14ac:dyDescent="0.2">
      <c r="A53" s="35" t="s">
        <v>49</v>
      </c>
      <c r="B53" s="36">
        <v>46163</v>
      </c>
      <c r="C53" s="53" t="s">
        <v>460</v>
      </c>
      <c r="D53" s="52" t="s">
        <v>502</v>
      </c>
      <c r="E53" s="52" t="s">
        <v>212</v>
      </c>
      <c r="F53" s="52" t="s">
        <v>619</v>
      </c>
      <c r="G53" s="35" t="str">
        <f t="shared" si="3"/>
        <v>OK</v>
      </c>
      <c r="H53" s="37">
        <f t="shared" si="4"/>
        <v>0.34236111111111101</v>
      </c>
      <c r="I53" s="38" t="str">
        <f t="shared" si="2"/>
        <v>NO OT</v>
      </c>
    </row>
    <row r="54" spans="1:9" s="54" customFormat="1" hidden="1" x14ac:dyDescent="0.2">
      <c r="A54" s="35" t="s">
        <v>49</v>
      </c>
      <c r="B54" s="36">
        <v>46164</v>
      </c>
      <c r="C54" s="53" t="s">
        <v>461</v>
      </c>
      <c r="D54" s="52" t="s">
        <v>668</v>
      </c>
      <c r="E54" s="52" t="s">
        <v>193</v>
      </c>
      <c r="F54" s="52" t="s">
        <v>385</v>
      </c>
      <c r="G54" s="35" t="str">
        <f t="shared" si="3"/>
        <v>LATE</v>
      </c>
      <c r="H54" s="37">
        <f t="shared" si="4"/>
        <v>0.26944444444444449</v>
      </c>
      <c r="I54" s="38" t="str">
        <f t="shared" si="2"/>
        <v>NO OT</v>
      </c>
    </row>
    <row r="55" spans="1:9" s="54" customFormat="1" hidden="1" x14ac:dyDescent="0.2">
      <c r="A55" s="35" t="s">
        <v>49</v>
      </c>
      <c r="B55" s="36">
        <v>46165</v>
      </c>
      <c r="C55" s="53" t="s">
        <v>463</v>
      </c>
      <c r="D55" s="52" t="s">
        <v>300</v>
      </c>
      <c r="E55" s="52" t="s">
        <v>303</v>
      </c>
      <c r="F55" s="52" t="s">
        <v>365</v>
      </c>
      <c r="G55" s="35" t="str">
        <f t="shared" si="3"/>
        <v>OK</v>
      </c>
      <c r="H55" s="37">
        <f t="shared" si="4"/>
        <v>0.33541666666666659</v>
      </c>
      <c r="I55" s="38" t="str">
        <f t="shared" si="2"/>
        <v>NO OT</v>
      </c>
    </row>
    <row r="56" spans="1:9" s="54" customFormat="1" hidden="1" x14ac:dyDescent="0.2">
      <c r="A56" s="35" t="s">
        <v>49</v>
      </c>
      <c r="B56" s="36">
        <v>46166</v>
      </c>
      <c r="C56" s="55" t="s">
        <v>456</v>
      </c>
      <c r="D56" s="52"/>
      <c r="E56" s="52"/>
      <c r="F56" s="52"/>
      <c r="G56" s="55" t="str">
        <f t="shared" si="3"/>
        <v>SUNDAY</v>
      </c>
      <c r="H56" s="37">
        <f t="shared" si="4"/>
        <v>0</v>
      </c>
      <c r="I56" s="38" t="str">
        <f t="shared" si="2"/>
        <v>NO OT</v>
      </c>
    </row>
    <row r="57" spans="1:9" s="54" customFormat="1" hidden="1" x14ac:dyDescent="0.2">
      <c r="A57" s="35" t="s">
        <v>49</v>
      </c>
      <c r="B57" s="36">
        <v>46167</v>
      </c>
      <c r="C57" s="53" t="s">
        <v>457</v>
      </c>
      <c r="D57" s="52" t="s">
        <v>279</v>
      </c>
      <c r="E57" s="52" t="s">
        <v>220</v>
      </c>
      <c r="F57" s="52" t="s">
        <v>304</v>
      </c>
      <c r="G57" s="35" t="str">
        <f t="shared" si="3"/>
        <v>OK</v>
      </c>
      <c r="H57" s="37">
        <f t="shared" si="4"/>
        <v>0.34583333333333333</v>
      </c>
      <c r="I57" s="38" t="str">
        <f t="shared" si="2"/>
        <v>NO OT</v>
      </c>
    </row>
    <row r="58" spans="1:9" s="54" customFormat="1" hidden="1" x14ac:dyDescent="0.2">
      <c r="A58" s="35" t="s">
        <v>49</v>
      </c>
      <c r="B58" s="36">
        <v>46168</v>
      </c>
      <c r="C58" s="53" t="s">
        <v>458</v>
      </c>
      <c r="D58" s="52" t="s">
        <v>222</v>
      </c>
      <c r="E58" s="52" t="s">
        <v>207</v>
      </c>
      <c r="F58" s="52" t="s">
        <v>367</v>
      </c>
      <c r="G58" s="35" t="str">
        <f t="shared" si="3"/>
        <v>OK</v>
      </c>
      <c r="H58" s="37">
        <f t="shared" si="4"/>
        <v>0.32569444444444451</v>
      </c>
      <c r="I58" s="38" t="str">
        <f t="shared" si="2"/>
        <v>NO OT</v>
      </c>
    </row>
    <row r="59" spans="1:9" s="54" customFormat="1" hidden="1" x14ac:dyDescent="0.2">
      <c r="A59" s="35" t="s">
        <v>49</v>
      </c>
      <c r="B59" s="36">
        <v>46169</v>
      </c>
      <c r="C59" s="53" t="s">
        <v>459</v>
      </c>
      <c r="D59" s="52" t="s">
        <v>288</v>
      </c>
      <c r="E59" s="52" t="s">
        <v>212</v>
      </c>
      <c r="F59" s="52" t="s">
        <v>204</v>
      </c>
      <c r="G59" s="35" t="str">
        <f t="shared" si="3"/>
        <v>OK</v>
      </c>
      <c r="H59" s="37">
        <f t="shared" si="4"/>
        <v>0.34097222222222212</v>
      </c>
      <c r="I59" s="38" t="str">
        <f t="shared" si="2"/>
        <v>NO OT</v>
      </c>
    </row>
    <row r="60" spans="1:9" s="54" customFormat="1" hidden="1" x14ac:dyDescent="0.2">
      <c r="A60" s="35" t="s">
        <v>49</v>
      </c>
      <c r="B60" s="36">
        <v>46170</v>
      </c>
      <c r="C60" s="53" t="s">
        <v>460</v>
      </c>
      <c r="D60" s="52"/>
      <c r="E60" s="52"/>
      <c r="F60" s="52"/>
      <c r="G60" s="55" t="s">
        <v>721</v>
      </c>
      <c r="H60" s="37">
        <f t="shared" si="4"/>
        <v>0</v>
      </c>
      <c r="I60" s="38" t="str">
        <f t="shared" si="2"/>
        <v>NO OT</v>
      </c>
    </row>
    <row r="61" spans="1:9" s="54" customFormat="1" hidden="1" x14ac:dyDescent="0.2">
      <c r="A61" s="35" t="s">
        <v>49</v>
      </c>
      <c r="B61" s="36">
        <v>46171</v>
      </c>
      <c r="C61" s="53" t="s">
        <v>461</v>
      </c>
      <c r="D61" s="52"/>
      <c r="E61" s="52"/>
      <c r="F61" s="52"/>
      <c r="G61" s="55" t="s">
        <v>721</v>
      </c>
      <c r="H61" s="37">
        <f t="shared" si="4"/>
        <v>0</v>
      </c>
      <c r="I61" s="38" t="str">
        <f t="shared" si="2"/>
        <v>NO OT</v>
      </c>
    </row>
    <row r="62" spans="1:9" s="54" customFormat="1" hidden="1" x14ac:dyDescent="0.2">
      <c r="A62" s="35" t="s">
        <v>49</v>
      </c>
      <c r="B62" s="36">
        <v>46172</v>
      </c>
      <c r="C62" s="53" t="s">
        <v>463</v>
      </c>
      <c r="D62" s="52"/>
      <c r="E62" s="52"/>
      <c r="F62" s="52"/>
      <c r="G62" s="55" t="s">
        <v>721</v>
      </c>
      <c r="H62" s="37">
        <f t="shared" si="4"/>
        <v>0</v>
      </c>
      <c r="I62" s="38" t="str">
        <f t="shared" si="2"/>
        <v>NO OT</v>
      </c>
    </row>
    <row r="63" spans="1:9" s="54" customFormat="1" hidden="1" x14ac:dyDescent="0.2">
      <c r="A63" s="35" t="s">
        <v>49</v>
      </c>
      <c r="B63" s="36">
        <v>46173</v>
      </c>
      <c r="C63" s="55" t="s">
        <v>456</v>
      </c>
      <c r="D63" s="52"/>
      <c r="E63" s="52"/>
      <c r="F63" s="52"/>
      <c r="G63" s="55" t="str">
        <f t="shared" si="3"/>
        <v>SUNDAY</v>
      </c>
      <c r="H63" s="37">
        <f t="shared" si="4"/>
        <v>0</v>
      </c>
      <c r="I63" s="38" t="str">
        <f t="shared" si="2"/>
        <v>NO OT</v>
      </c>
    </row>
    <row r="64" spans="1:9" s="54" customFormat="1" hidden="1" x14ac:dyDescent="0.2">
      <c r="A64" s="35" t="s">
        <v>495</v>
      </c>
      <c r="B64" s="36">
        <v>46143</v>
      </c>
      <c r="C64" s="53" t="s">
        <v>461</v>
      </c>
      <c r="D64" s="52" t="s">
        <v>169</v>
      </c>
      <c r="E64" s="52" t="s">
        <v>190</v>
      </c>
      <c r="F64" s="52" t="s">
        <v>331</v>
      </c>
      <c r="G64" s="35" t="str">
        <f t="shared" si="3"/>
        <v>LATE</v>
      </c>
      <c r="H64" s="37">
        <f t="shared" si="4"/>
        <v>0.31111111111111112</v>
      </c>
      <c r="I64" s="38" t="str">
        <f t="shared" si="2"/>
        <v>NO OT</v>
      </c>
    </row>
    <row r="65" spans="1:9" s="54" customFormat="1" hidden="1" x14ac:dyDescent="0.2">
      <c r="A65" s="35" t="s">
        <v>495</v>
      </c>
      <c r="B65" s="36">
        <v>46144</v>
      </c>
      <c r="C65" s="53" t="s">
        <v>463</v>
      </c>
      <c r="D65" s="52" t="s">
        <v>224</v>
      </c>
      <c r="E65" s="52" t="s">
        <v>214</v>
      </c>
      <c r="F65" s="52" t="s">
        <v>316</v>
      </c>
      <c r="G65" s="35" t="str">
        <f t="shared" si="3"/>
        <v>LATE</v>
      </c>
      <c r="H65" s="37">
        <f t="shared" si="4"/>
        <v>0.31874999999999987</v>
      </c>
      <c r="I65" s="38" t="str">
        <f t="shared" si="2"/>
        <v>NO OT</v>
      </c>
    </row>
    <row r="66" spans="1:9" s="54" customFormat="1" hidden="1" x14ac:dyDescent="0.2">
      <c r="A66" s="35" t="s">
        <v>495</v>
      </c>
      <c r="B66" s="36">
        <v>46145</v>
      </c>
      <c r="C66" s="55" t="s">
        <v>456</v>
      </c>
      <c r="D66" s="52"/>
      <c r="E66" s="52"/>
      <c r="F66" s="52"/>
      <c r="G66" s="55" t="str">
        <f t="shared" si="3"/>
        <v>SUNDAY</v>
      </c>
      <c r="H66" s="37">
        <f t="shared" si="4"/>
        <v>0</v>
      </c>
      <c r="I66" s="38" t="str">
        <f t="shared" si="2"/>
        <v>NO OT</v>
      </c>
    </row>
    <row r="67" spans="1:9" s="54" customFormat="1" hidden="1" x14ac:dyDescent="0.2">
      <c r="A67" s="35" t="s">
        <v>495</v>
      </c>
      <c r="B67" s="36">
        <v>46146</v>
      </c>
      <c r="C67" s="53" t="s">
        <v>457</v>
      </c>
      <c r="D67" s="52" t="s">
        <v>170</v>
      </c>
      <c r="E67" s="52" t="s">
        <v>259</v>
      </c>
      <c r="F67" s="52" t="s">
        <v>395</v>
      </c>
      <c r="G67" s="35" t="str">
        <f t="shared" si="3"/>
        <v>LATE</v>
      </c>
      <c r="H67" s="37">
        <f t="shared" si="4"/>
        <v>0.28125</v>
      </c>
      <c r="I67" s="38" t="str">
        <f t="shared" si="2"/>
        <v>NO OT</v>
      </c>
    </row>
    <row r="68" spans="1:9" s="54" customFormat="1" hidden="1" x14ac:dyDescent="0.2">
      <c r="A68" s="35" t="s">
        <v>495</v>
      </c>
      <c r="B68" s="36">
        <v>46147</v>
      </c>
      <c r="C68" s="53" t="s">
        <v>458</v>
      </c>
      <c r="D68" s="52" t="s">
        <v>322</v>
      </c>
      <c r="E68" s="52" t="s">
        <v>190</v>
      </c>
      <c r="F68" s="52" t="s">
        <v>215</v>
      </c>
      <c r="G68" s="35" t="str">
        <f t="shared" si="3"/>
        <v>LATE</v>
      </c>
      <c r="H68" s="37">
        <f t="shared" si="4"/>
        <v>0.31805555555555554</v>
      </c>
      <c r="I68" s="38" t="str">
        <f t="shared" ref="I68:I131" si="5">IF(VALUE(E68) &gt; TIME(19,0,0), TEXT(VALUE(E68) - TIME(19,0,0), "hh:mm"), "NO OT")</f>
        <v>NO OT</v>
      </c>
    </row>
    <row r="69" spans="1:9" s="54" customFormat="1" hidden="1" x14ac:dyDescent="0.2">
      <c r="A69" s="35" t="s">
        <v>495</v>
      </c>
      <c r="B69" s="36">
        <v>46148</v>
      </c>
      <c r="C69" s="53" t="s">
        <v>459</v>
      </c>
      <c r="D69" s="52" t="s">
        <v>288</v>
      </c>
      <c r="E69" s="52" t="s">
        <v>190</v>
      </c>
      <c r="F69" s="52" t="s">
        <v>622</v>
      </c>
      <c r="G69" s="35" t="str">
        <f t="shared" si="3"/>
        <v>OK</v>
      </c>
      <c r="H69" s="37">
        <f t="shared" si="4"/>
        <v>0.34166666666666667</v>
      </c>
      <c r="I69" s="38" t="str">
        <f t="shared" si="5"/>
        <v>NO OT</v>
      </c>
    </row>
    <row r="70" spans="1:9" s="54" customFormat="1" hidden="1" x14ac:dyDescent="0.2">
      <c r="A70" s="35" t="s">
        <v>495</v>
      </c>
      <c r="B70" s="36">
        <v>46149</v>
      </c>
      <c r="C70" s="53" t="s">
        <v>460</v>
      </c>
      <c r="D70" s="52" t="s">
        <v>205</v>
      </c>
      <c r="E70" s="52" t="s">
        <v>259</v>
      </c>
      <c r="F70" s="52" t="s">
        <v>520</v>
      </c>
      <c r="G70" s="35" t="str">
        <f t="shared" si="3"/>
        <v>OK</v>
      </c>
      <c r="H70" s="37">
        <f t="shared" si="4"/>
        <v>0.34513888888888888</v>
      </c>
      <c r="I70" s="38" t="str">
        <f t="shared" si="5"/>
        <v>NO OT</v>
      </c>
    </row>
    <row r="71" spans="1:9" s="54" customFormat="1" hidden="1" x14ac:dyDescent="0.2">
      <c r="A71" s="35" t="s">
        <v>495</v>
      </c>
      <c r="B71" s="36">
        <v>46150</v>
      </c>
      <c r="C71" s="53" t="s">
        <v>461</v>
      </c>
      <c r="D71" s="52" t="s">
        <v>272</v>
      </c>
      <c r="E71" s="52" t="s">
        <v>333</v>
      </c>
      <c r="F71" s="52" t="s">
        <v>294</v>
      </c>
      <c r="G71" s="35" t="str">
        <f t="shared" si="3"/>
        <v>OK</v>
      </c>
      <c r="H71" s="37">
        <f t="shared" si="4"/>
        <v>0.33611111111111114</v>
      </c>
      <c r="I71" s="38" t="str">
        <f t="shared" si="5"/>
        <v>NO OT</v>
      </c>
    </row>
    <row r="72" spans="1:9" s="54" customFormat="1" hidden="1" x14ac:dyDescent="0.2">
      <c r="A72" s="35" t="s">
        <v>495</v>
      </c>
      <c r="B72" s="36">
        <v>46151</v>
      </c>
      <c r="C72" s="53" t="s">
        <v>463</v>
      </c>
      <c r="D72" s="52" t="s">
        <v>315</v>
      </c>
      <c r="E72" s="52" t="s">
        <v>669</v>
      </c>
      <c r="F72" s="52" t="s">
        <v>550</v>
      </c>
      <c r="G72" s="35" t="str">
        <f t="shared" si="3"/>
        <v>OK</v>
      </c>
      <c r="H72" s="37">
        <f t="shared" si="4"/>
        <v>0.17430555555555557</v>
      </c>
      <c r="I72" s="38" t="str">
        <f t="shared" si="5"/>
        <v>NO OT</v>
      </c>
    </row>
    <row r="73" spans="1:9" s="54" customFormat="1" hidden="1" x14ac:dyDescent="0.2">
      <c r="A73" s="35" t="s">
        <v>495</v>
      </c>
      <c r="B73" s="36">
        <v>46152</v>
      </c>
      <c r="C73" s="55" t="s">
        <v>456</v>
      </c>
      <c r="D73" s="52"/>
      <c r="E73" s="52"/>
      <c r="F73" s="52"/>
      <c r="G73" s="55" t="str">
        <f t="shared" si="3"/>
        <v>SUNDAY</v>
      </c>
      <c r="H73" s="37">
        <f t="shared" si="4"/>
        <v>0</v>
      </c>
      <c r="I73" s="38" t="str">
        <f t="shared" si="5"/>
        <v>NO OT</v>
      </c>
    </row>
    <row r="74" spans="1:9" s="54" customFormat="1" hidden="1" x14ac:dyDescent="0.2">
      <c r="A74" s="35" t="s">
        <v>495</v>
      </c>
      <c r="B74" s="36">
        <v>46153</v>
      </c>
      <c r="C74" s="53" t="s">
        <v>457</v>
      </c>
      <c r="D74" s="52" t="s">
        <v>12</v>
      </c>
      <c r="E74" s="52" t="s">
        <v>12</v>
      </c>
      <c r="F74" s="52" t="s">
        <v>12</v>
      </c>
      <c r="G74" s="55" t="str">
        <f t="shared" si="3"/>
        <v>ABSENT</v>
      </c>
      <c r="H74" s="37">
        <f t="shared" si="4"/>
        <v>-4.1666666666666664E-2</v>
      </c>
      <c r="I74" s="38" t="str">
        <f t="shared" si="5"/>
        <v>NO OT</v>
      </c>
    </row>
    <row r="75" spans="1:9" s="54" customFormat="1" hidden="1" x14ac:dyDescent="0.2">
      <c r="A75" s="35" t="s">
        <v>495</v>
      </c>
      <c r="B75" s="36">
        <v>46154</v>
      </c>
      <c r="C75" s="53" t="s">
        <v>458</v>
      </c>
      <c r="D75" s="52" t="s">
        <v>364</v>
      </c>
      <c r="E75" s="52" t="s">
        <v>212</v>
      </c>
      <c r="F75" s="52" t="s">
        <v>304</v>
      </c>
      <c r="G75" s="35" t="str">
        <f t="shared" si="3"/>
        <v>OK</v>
      </c>
      <c r="H75" s="37">
        <f t="shared" si="4"/>
        <v>0.34583333333333321</v>
      </c>
      <c r="I75" s="38" t="str">
        <f t="shared" si="5"/>
        <v>NO OT</v>
      </c>
    </row>
    <row r="76" spans="1:9" s="54" customFormat="1" hidden="1" x14ac:dyDescent="0.2">
      <c r="A76" s="35" t="s">
        <v>495</v>
      </c>
      <c r="B76" s="36">
        <v>46155</v>
      </c>
      <c r="C76" s="53" t="s">
        <v>459</v>
      </c>
      <c r="D76" s="52" t="s">
        <v>282</v>
      </c>
      <c r="E76" s="52" t="s">
        <v>311</v>
      </c>
      <c r="F76" s="52" t="s">
        <v>622</v>
      </c>
      <c r="G76" s="35" t="str">
        <f t="shared" si="3"/>
        <v>OK</v>
      </c>
      <c r="H76" s="37">
        <f t="shared" si="4"/>
        <v>0.34166666666666667</v>
      </c>
      <c r="I76" s="38" t="str">
        <f t="shared" si="5"/>
        <v>NO OT</v>
      </c>
    </row>
    <row r="77" spans="1:9" s="54" customFormat="1" hidden="1" x14ac:dyDescent="0.2">
      <c r="A77" s="35" t="s">
        <v>495</v>
      </c>
      <c r="B77" s="36">
        <v>46156</v>
      </c>
      <c r="C77" s="53" t="s">
        <v>460</v>
      </c>
      <c r="D77" s="52" t="s">
        <v>360</v>
      </c>
      <c r="E77" s="52" t="s">
        <v>333</v>
      </c>
      <c r="F77" s="52" t="s">
        <v>210</v>
      </c>
      <c r="G77" s="35" t="str">
        <f t="shared" si="3"/>
        <v>OK</v>
      </c>
      <c r="H77" s="37">
        <f t="shared" si="4"/>
        <v>0.33263888888888887</v>
      </c>
      <c r="I77" s="38" t="str">
        <f t="shared" si="5"/>
        <v>NO OT</v>
      </c>
    </row>
    <row r="78" spans="1:9" s="54" customFormat="1" hidden="1" x14ac:dyDescent="0.2">
      <c r="A78" s="35" t="s">
        <v>495</v>
      </c>
      <c r="B78" s="36">
        <v>46157</v>
      </c>
      <c r="C78" s="53" t="s">
        <v>461</v>
      </c>
      <c r="D78" s="52" t="s">
        <v>322</v>
      </c>
      <c r="E78" s="52" t="s">
        <v>333</v>
      </c>
      <c r="F78" s="52" t="s">
        <v>501</v>
      </c>
      <c r="G78" s="35" t="str">
        <f t="shared" si="3"/>
        <v>LATE</v>
      </c>
      <c r="H78" s="37">
        <f t="shared" si="4"/>
        <v>0.31666666666666665</v>
      </c>
      <c r="I78" s="38" t="str">
        <f t="shared" si="5"/>
        <v>NO OT</v>
      </c>
    </row>
    <row r="79" spans="1:9" s="54" customFormat="1" hidden="1" x14ac:dyDescent="0.2">
      <c r="A79" s="35" t="s">
        <v>495</v>
      </c>
      <c r="B79" s="36">
        <v>46158</v>
      </c>
      <c r="C79" s="53" t="s">
        <v>463</v>
      </c>
      <c r="D79" s="52" t="s">
        <v>264</v>
      </c>
      <c r="E79" s="52" t="s">
        <v>232</v>
      </c>
      <c r="F79" s="52" t="s">
        <v>469</v>
      </c>
      <c r="G79" s="35" t="str">
        <f t="shared" si="3"/>
        <v>LATE</v>
      </c>
      <c r="H79" s="37">
        <f t="shared" si="4"/>
        <v>0.28263888888888883</v>
      </c>
      <c r="I79" s="38" t="str">
        <f t="shared" si="5"/>
        <v>NO OT</v>
      </c>
    </row>
    <row r="80" spans="1:9" s="54" customFormat="1" hidden="1" x14ac:dyDescent="0.2">
      <c r="A80" s="35" t="s">
        <v>495</v>
      </c>
      <c r="B80" s="36">
        <v>46159</v>
      </c>
      <c r="C80" s="55" t="s">
        <v>456</v>
      </c>
      <c r="D80" s="52"/>
      <c r="E80" s="52"/>
      <c r="F80" s="52"/>
      <c r="G80" s="55" t="str">
        <f t="shared" si="3"/>
        <v>SUNDAY</v>
      </c>
      <c r="H80" s="37">
        <f t="shared" si="4"/>
        <v>0</v>
      </c>
      <c r="I80" s="38" t="str">
        <f t="shared" si="5"/>
        <v>NO OT</v>
      </c>
    </row>
    <row r="81" spans="1:9" s="54" customFormat="1" hidden="1" x14ac:dyDescent="0.2">
      <c r="A81" s="35" t="s">
        <v>495</v>
      </c>
      <c r="B81" s="36">
        <v>46160</v>
      </c>
      <c r="C81" s="53" t="s">
        <v>457</v>
      </c>
      <c r="D81" s="52" t="s">
        <v>670</v>
      </c>
      <c r="E81" s="52" t="s">
        <v>193</v>
      </c>
      <c r="F81" s="52" t="s">
        <v>671</v>
      </c>
      <c r="G81" s="35" t="str">
        <f t="shared" si="3"/>
        <v>LATE</v>
      </c>
      <c r="H81" s="37">
        <f t="shared" si="4"/>
        <v>0.29722222222222222</v>
      </c>
      <c r="I81" s="38" t="str">
        <f t="shared" si="5"/>
        <v>NO OT</v>
      </c>
    </row>
    <row r="82" spans="1:9" s="54" customFormat="1" hidden="1" x14ac:dyDescent="0.2">
      <c r="A82" s="35" t="s">
        <v>495</v>
      </c>
      <c r="B82" s="36">
        <v>46161</v>
      </c>
      <c r="C82" s="53" t="s">
        <v>458</v>
      </c>
      <c r="D82" s="52" t="s">
        <v>260</v>
      </c>
      <c r="E82" s="52" t="s">
        <v>354</v>
      </c>
      <c r="F82" s="52" t="s">
        <v>672</v>
      </c>
      <c r="G82" s="35" t="str">
        <f t="shared" si="3"/>
        <v>OK</v>
      </c>
      <c r="H82" s="37">
        <f t="shared" si="4"/>
        <v>0.35138888888888886</v>
      </c>
      <c r="I82" s="38" t="str">
        <f t="shared" si="5"/>
        <v>NO OT</v>
      </c>
    </row>
    <row r="83" spans="1:9" s="54" customFormat="1" hidden="1" x14ac:dyDescent="0.2">
      <c r="A83" s="35" t="s">
        <v>495</v>
      </c>
      <c r="B83" s="36">
        <v>46162</v>
      </c>
      <c r="C83" s="53" t="s">
        <v>459</v>
      </c>
      <c r="D83" s="52" t="s">
        <v>12</v>
      </c>
      <c r="E83" s="52" t="s">
        <v>12</v>
      </c>
      <c r="F83" s="52" t="s">
        <v>12</v>
      </c>
      <c r="G83" s="55" t="str">
        <f t="shared" si="3"/>
        <v>ABSENT</v>
      </c>
      <c r="H83" s="37">
        <f t="shared" si="4"/>
        <v>-4.1666666666666664E-2</v>
      </c>
      <c r="I83" s="38" t="str">
        <f t="shared" si="5"/>
        <v>NO OT</v>
      </c>
    </row>
    <row r="84" spans="1:9" s="54" customFormat="1" hidden="1" x14ac:dyDescent="0.2">
      <c r="A84" s="35" t="s">
        <v>495</v>
      </c>
      <c r="B84" s="36">
        <v>46163</v>
      </c>
      <c r="C84" s="53" t="s">
        <v>460</v>
      </c>
      <c r="D84" s="52" t="s">
        <v>202</v>
      </c>
      <c r="E84" s="52" t="s">
        <v>389</v>
      </c>
      <c r="F84" s="52" t="s">
        <v>358</v>
      </c>
      <c r="G84" s="35" t="str">
        <f t="shared" si="3"/>
        <v>OK</v>
      </c>
      <c r="H84" s="37">
        <f t="shared" si="4"/>
        <v>0.33958333333333324</v>
      </c>
      <c r="I84" s="38" t="str">
        <f t="shared" si="5"/>
        <v>NO OT</v>
      </c>
    </row>
    <row r="85" spans="1:9" s="54" customFormat="1" hidden="1" x14ac:dyDescent="0.2">
      <c r="A85" s="35" t="s">
        <v>495</v>
      </c>
      <c r="B85" s="36">
        <v>46164</v>
      </c>
      <c r="C85" s="53" t="s">
        <v>461</v>
      </c>
      <c r="D85" s="52" t="s">
        <v>240</v>
      </c>
      <c r="E85" s="52" t="s">
        <v>217</v>
      </c>
      <c r="F85" s="52" t="s">
        <v>369</v>
      </c>
      <c r="G85" s="35" t="str">
        <f t="shared" si="3"/>
        <v>OK</v>
      </c>
      <c r="H85" s="37">
        <f t="shared" si="4"/>
        <v>0.33194444444444449</v>
      </c>
      <c r="I85" s="38" t="str">
        <f t="shared" si="5"/>
        <v>NO OT</v>
      </c>
    </row>
    <row r="86" spans="1:9" s="54" customFormat="1" hidden="1" x14ac:dyDescent="0.2">
      <c r="A86" s="35" t="s">
        <v>495</v>
      </c>
      <c r="B86" s="36">
        <v>46165</v>
      </c>
      <c r="C86" s="53" t="s">
        <v>463</v>
      </c>
      <c r="D86" s="52" t="s">
        <v>258</v>
      </c>
      <c r="E86" s="52" t="s">
        <v>292</v>
      </c>
      <c r="F86" s="52" t="s">
        <v>210</v>
      </c>
      <c r="G86" s="35" t="str">
        <f t="shared" si="3"/>
        <v>OK</v>
      </c>
      <c r="H86" s="37">
        <f t="shared" si="4"/>
        <v>0.33263888888888893</v>
      </c>
      <c r="I86" s="38" t="str">
        <f t="shared" si="5"/>
        <v>NO OT</v>
      </c>
    </row>
    <row r="87" spans="1:9" s="54" customFormat="1" hidden="1" x14ac:dyDescent="0.2">
      <c r="A87" s="35" t="s">
        <v>495</v>
      </c>
      <c r="B87" s="36">
        <v>46166</v>
      </c>
      <c r="C87" s="55" t="s">
        <v>456</v>
      </c>
      <c r="D87" s="52"/>
      <c r="E87" s="52"/>
      <c r="F87" s="52"/>
      <c r="G87" s="55" t="str">
        <f t="shared" si="3"/>
        <v>SUNDAY</v>
      </c>
      <c r="H87" s="37">
        <f t="shared" si="4"/>
        <v>0</v>
      </c>
      <c r="I87" s="38" t="str">
        <f t="shared" si="5"/>
        <v>NO OT</v>
      </c>
    </row>
    <row r="88" spans="1:9" s="54" customFormat="1" hidden="1" x14ac:dyDescent="0.2">
      <c r="A88" s="35" t="s">
        <v>495</v>
      </c>
      <c r="B88" s="36">
        <v>46167</v>
      </c>
      <c r="C88" s="53" t="s">
        <v>457</v>
      </c>
      <c r="D88" s="52" t="s">
        <v>260</v>
      </c>
      <c r="E88" s="52" t="s">
        <v>673</v>
      </c>
      <c r="F88" s="52" t="s">
        <v>674</v>
      </c>
      <c r="G88" s="35" t="str">
        <f t="shared" si="3"/>
        <v>OK</v>
      </c>
      <c r="H88" s="37">
        <f t="shared" si="4"/>
        <v>0.39861111111111114</v>
      </c>
      <c r="I88" s="48" t="str">
        <f t="shared" si="5"/>
        <v>01:02</v>
      </c>
    </row>
    <row r="89" spans="1:9" s="54" customFormat="1" hidden="1" x14ac:dyDescent="0.2">
      <c r="A89" s="35" t="s">
        <v>495</v>
      </c>
      <c r="B89" s="36">
        <v>46168</v>
      </c>
      <c r="C89" s="53" t="s">
        <v>458</v>
      </c>
      <c r="D89" s="52" t="s">
        <v>494</v>
      </c>
      <c r="E89" s="52" t="s">
        <v>259</v>
      </c>
      <c r="F89" s="52" t="s">
        <v>345</v>
      </c>
      <c r="G89" s="35" t="str">
        <f t="shared" si="3"/>
        <v>OK</v>
      </c>
      <c r="H89" s="37">
        <f t="shared" si="4"/>
        <v>0.33888888888888891</v>
      </c>
      <c r="I89" s="38" t="str">
        <f t="shared" si="5"/>
        <v>NO OT</v>
      </c>
    </row>
    <row r="90" spans="1:9" s="54" customFormat="1" hidden="1" x14ac:dyDescent="0.2">
      <c r="A90" s="35" t="s">
        <v>495</v>
      </c>
      <c r="B90" s="36">
        <v>46169</v>
      </c>
      <c r="C90" s="53" t="s">
        <v>459</v>
      </c>
      <c r="D90" s="52" t="s">
        <v>494</v>
      </c>
      <c r="E90" s="52" t="s">
        <v>675</v>
      </c>
      <c r="F90" s="52" t="s">
        <v>676</v>
      </c>
      <c r="G90" s="35" t="str">
        <f t="shared" si="3"/>
        <v>OK</v>
      </c>
      <c r="H90" s="37">
        <f t="shared" si="4"/>
        <v>0.36736111111111114</v>
      </c>
      <c r="I90" s="48" t="str">
        <f t="shared" si="5"/>
        <v>00:14</v>
      </c>
    </row>
    <row r="91" spans="1:9" s="54" customFormat="1" hidden="1" x14ac:dyDescent="0.2">
      <c r="A91" s="35" t="s">
        <v>495</v>
      </c>
      <c r="B91" s="36">
        <v>46170</v>
      </c>
      <c r="C91" s="53" t="s">
        <v>460</v>
      </c>
      <c r="D91" s="52"/>
      <c r="E91" s="52"/>
      <c r="F91" s="52"/>
      <c r="G91" s="55" t="s">
        <v>721</v>
      </c>
      <c r="H91" s="37">
        <f t="shared" si="4"/>
        <v>0</v>
      </c>
      <c r="I91" s="38" t="str">
        <f t="shared" si="5"/>
        <v>NO OT</v>
      </c>
    </row>
    <row r="92" spans="1:9" s="54" customFormat="1" hidden="1" x14ac:dyDescent="0.2">
      <c r="A92" s="35" t="s">
        <v>495</v>
      </c>
      <c r="B92" s="36">
        <v>46171</v>
      </c>
      <c r="C92" s="53" t="s">
        <v>461</v>
      </c>
      <c r="D92" s="52" t="s">
        <v>269</v>
      </c>
      <c r="E92" s="52" t="s">
        <v>12</v>
      </c>
      <c r="F92" s="52" t="s">
        <v>188</v>
      </c>
      <c r="G92" s="35" t="str">
        <f t="shared" si="3"/>
        <v>OK</v>
      </c>
      <c r="H92" s="37">
        <f t="shared" si="4"/>
        <v>-0.44097222222222227</v>
      </c>
      <c r="I92" s="38" t="str">
        <f t="shared" si="5"/>
        <v>NO OT</v>
      </c>
    </row>
    <row r="93" spans="1:9" s="54" customFormat="1" hidden="1" x14ac:dyDescent="0.2">
      <c r="A93" s="35" t="s">
        <v>495</v>
      </c>
      <c r="B93" s="36">
        <v>46172</v>
      </c>
      <c r="C93" s="53" t="s">
        <v>463</v>
      </c>
      <c r="D93" s="52" t="s">
        <v>474</v>
      </c>
      <c r="E93" s="52" t="s">
        <v>346</v>
      </c>
      <c r="F93" s="52" t="s">
        <v>404</v>
      </c>
      <c r="G93" s="35" t="str">
        <f t="shared" si="3"/>
        <v>OK</v>
      </c>
      <c r="H93" s="37">
        <f t="shared" si="4"/>
        <v>0.35069444444444442</v>
      </c>
      <c r="I93" s="38" t="str">
        <f t="shared" si="5"/>
        <v>NO OT</v>
      </c>
    </row>
    <row r="94" spans="1:9" s="54" customFormat="1" hidden="1" x14ac:dyDescent="0.2">
      <c r="A94" s="35" t="s">
        <v>495</v>
      </c>
      <c r="B94" s="36">
        <v>46173</v>
      </c>
      <c r="C94" s="55" t="s">
        <v>456</v>
      </c>
      <c r="D94" s="52"/>
      <c r="E94" s="52"/>
      <c r="F94" s="52"/>
      <c r="G94" s="55" t="str">
        <f t="shared" si="3"/>
        <v>SUNDAY</v>
      </c>
      <c r="H94" s="37">
        <f t="shared" si="4"/>
        <v>0</v>
      </c>
      <c r="I94" s="38" t="str">
        <f t="shared" si="5"/>
        <v>NO OT</v>
      </c>
    </row>
    <row r="95" spans="1:9" s="54" customFormat="1" hidden="1" x14ac:dyDescent="0.2">
      <c r="A95" s="35" t="s">
        <v>506</v>
      </c>
      <c r="B95" s="36">
        <v>46143</v>
      </c>
      <c r="C95" s="53" t="s">
        <v>461</v>
      </c>
      <c r="D95" s="52" t="s">
        <v>330</v>
      </c>
      <c r="E95" s="52" t="s">
        <v>212</v>
      </c>
      <c r="F95" s="52" t="s">
        <v>326</v>
      </c>
      <c r="G95" s="35" t="str">
        <f t="shared" si="3"/>
        <v>LATE</v>
      </c>
      <c r="H95" s="37">
        <f t="shared" si="4"/>
        <v>0.31388888888888883</v>
      </c>
      <c r="I95" s="38" t="str">
        <f t="shared" si="5"/>
        <v>NO OT</v>
      </c>
    </row>
    <row r="96" spans="1:9" s="54" customFormat="1" hidden="1" x14ac:dyDescent="0.2">
      <c r="A96" s="35" t="s">
        <v>506</v>
      </c>
      <c r="B96" s="36">
        <v>46144</v>
      </c>
      <c r="C96" s="53" t="s">
        <v>463</v>
      </c>
      <c r="D96" s="52" t="s">
        <v>332</v>
      </c>
      <c r="E96" s="52" t="s">
        <v>214</v>
      </c>
      <c r="F96" s="52" t="s">
        <v>335</v>
      </c>
      <c r="G96" s="35" t="str">
        <f t="shared" ref="G96:G159" si="6">IF(C96="Sunday", "SUNDAY", IF(OR(D96=0, D96="", D96="0:0"), "ABSENT", IF(MOD(D96,1) &gt; TIME(9,45,0), "LATE", "OK")))</f>
        <v>LATE</v>
      </c>
      <c r="H96" s="37">
        <f t="shared" ref="H96:H159" si="7">IF(OR(D96=0, D96="", E96=0, E96=""), 0, (E96-D96)-TIME(1,0,0))</f>
        <v>0.31180555555555545</v>
      </c>
      <c r="I96" s="38" t="str">
        <f t="shared" si="5"/>
        <v>NO OT</v>
      </c>
    </row>
    <row r="97" spans="1:9" s="54" customFormat="1" hidden="1" x14ac:dyDescent="0.2">
      <c r="A97" s="35" t="s">
        <v>506</v>
      </c>
      <c r="B97" s="36">
        <v>46145</v>
      </c>
      <c r="C97" s="55" t="s">
        <v>456</v>
      </c>
      <c r="D97" s="52"/>
      <c r="E97" s="52"/>
      <c r="F97" s="52"/>
      <c r="G97" s="55" t="str">
        <f t="shared" si="6"/>
        <v>SUNDAY</v>
      </c>
      <c r="H97" s="37">
        <f t="shared" si="7"/>
        <v>0</v>
      </c>
      <c r="I97" s="38" t="str">
        <f t="shared" si="5"/>
        <v>NO OT</v>
      </c>
    </row>
    <row r="98" spans="1:9" s="54" customFormat="1" hidden="1" x14ac:dyDescent="0.2">
      <c r="A98" s="35" t="s">
        <v>506</v>
      </c>
      <c r="B98" s="36">
        <v>46146</v>
      </c>
      <c r="C98" s="53" t="s">
        <v>457</v>
      </c>
      <c r="D98" s="52" t="s">
        <v>12</v>
      </c>
      <c r="E98" s="52" t="s">
        <v>12</v>
      </c>
      <c r="F98" s="52" t="s">
        <v>12</v>
      </c>
      <c r="G98" s="55" t="str">
        <f t="shared" si="6"/>
        <v>ABSENT</v>
      </c>
      <c r="H98" s="37">
        <f t="shared" si="7"/>
        <v>-4.1666666666666664E-2</v>
      </c>
      <c r="I98" s="38" t="str">
        <f t="shared" si="5"/>
        <v>NO OT</v>
      </c>
    </row>
    <row r="99" spans="1:9" s="54" customFormat="1" hidden="1" x14ac:dyDescent="0.2">
      <c r="A99" s="35" t="s">
        <v>506</v>
      </c>
      <c r="B99" s="36">
        <v>46147</v>
      </c>
      <c r="C99" s="53" t="s">
        <v>458</v>
      </c>
      <c r="D99" s="52" t="s">
        <v>100</v>
      </c>
      <c r="E99" s="52" t="s">
        <v>333</v>
      </c>
      <c r="F99" s="52" t="s">
        <v>335</v>
      </c>
      <c r="G99" s="35" t="str">
        <f t="shared" si="6"/>
        <v>LATE</v>
      </c>
      <c r="H99" s="37">
        <f t="shared" si="7"/>
        <v>0.31180555555555556</v>
      </c>
      <c r="I99" s="38" t="str">
        <f t="shared" si="5"/>
        <v>NO OT</v>
      </c>
    </row>
    <row r="100" spans="1:9" s="54" customFormat="1" hidden="1" x14ac:dyDescent="0.2">
      <c r="A100" s="35" t="s">
        <v>506</v>
      </c>
      <c r="B100" s="36">
        <v>46148</v>
      </c>
      <c r="C100" s="53" t="s">
        <v>459</v>
      </c>
      <c r="D100" s="52" t="s">
        <v>54</v>
      </c>
      <c r="E100" s="52" t="s">
        <v>333</v>
      </c>
      <c r="F100" s="52" t="s">
        <v>293</v>
      </c>
      <c r="G100" s="35" t="str">
        <f t="shared" si="6"/>
        <v>LATE</v>
      </c>
      <c r="H100" s="37">
        <f t="shared" si="7"/>
        <v>0.3125</v>
      </c>
      <c r="I100" s="38" t="str">
        <f t="shared" si="5"/>
        <v>NO OT</v>
      </c>
    </row>
    <row r="101" spans="1:9" s="54" customFormat="1" hidden="1" x14ac:dyDescent="0.2">
      <c r="A101" s="35" t="s">
        <v>506</v>
      </c>
      <c r="B101" s="36">
        <v>46149</v>
      </c>
      <c r="C101" s="53" t="s">
        <v>460</v>
      </c>
      <c r="D101" s="52" t="s">
        <v>507</v>
      </c>
      <c r="E101" s="52" t="s">
        <v>333</v>
      </c>
      <c r="F101" s="52" t="s">
        <v>341</v>
      </c>
      <c r="G101" s="35" t="str">
        <f t="shared" si="6"/>
        <v>LATE</v>
      </c>
      <c r="H101" s="37">
        <f t="shared" si="7"/>
        <v>0.29513888888888895</v>
      </c>
      <c r="I101" s="38" t="str">
        <f t="shared" si="5"/>
        <v>NO OT</v>
      </c>
    </row>
    <row r="102" spans="1:9" s="54" customFormat="1" hidden="1" x14ac:dyDescent="0.2">
      <c r="A102" s="35" t="s">
        <v>506</v>
      </c>
      <c r="B102" s="36">
        <v>46150</v>
      </c>
      <c r="C102" s="53" t="s">
        <v>461</v>
      </c>
      <c r="D102" s="52" t="s">
        <v>187</v>
      </c>
      <c r="E102" s="52" t="s">
        <v>197</v>
      </c>
      <c r="F102" s="52" t="s">
        <v>498</v>
      </c>
      <c r="G102" s="35" t="str">
        <f t="shared" si="6"/>
        <v>LATE</v>
      </c>
      <c r="H102" s="37">
        <f t="shared" si="7"/>
        <v>0.30347222222222214</v>
      </c>
      <c r="I102" s="38" t="str">
        <f t="shared" si="5"/>
        <v>NO OT</v>
      </c>
    </row>
    <row r="103" spans="1:9" s="54" customFormat="1" hidden="1" x14ac:dyDescent="0.2">
      <c r="A103" s="35" t="s">
        <v>506</v>
      </c>
      <c r="B103" s="36">
        <v>46151</v>
      </c>
      <c r="C103" s="53" t="s">
        <v>463</v>
      </c>
      <c r="D103" s="52" t="s">
        <v>291</v>
      </c>
      <c r="E103" s="52" t="s">
        <v>496</v>
      </c>
      <c r="F103" s="52" t="s">
        <v>329</v>
      </c>
      <c r="G103" s="35" t="str">
        <f t="shared" si="6"/>
        <v>LATE</v>
      </c>
      <c r="H103" s="37">
        <f t="shared" si="7"/>
        <v>0.30486111111111103</v>
      </c>
      <c r="I103" s="38" t="str">
        <f t="shared" si="5"/>
        <v>NO OT</v>
      </c>
    </row>
    <row r="104" spans="1:9" s="54" customFormat="1" hidden="1" x14ac:dyDescent="0.2">
      <c r="A104" s="35" t="s">
        <v>506</v>
      </c>
      <c r="B104" s="36">
        <v>46152</v>
      </c>
      <c r="C104" s="55" t="s">
        <v>456</v>
      </c>
      <c r="D104" s="52"/>
      <c r="E104" s="52"/>
      <c r="F104" s="52"/>
      <c r="G104" s="55" t="str">
        <f t="shared" si="6"/>
        <v>SUNDAY</v>
      </c>
      <c r="H104" s="37">
        <f t="shared" si="7"/>
        <v>0</v>
      </c>
      <c r="I104" s="38" t="str">
        <f t="shared" si="5"/>
        <v>NO OT</v>
      </c>
    </row>
    <row r="105" spans="1:9" s="54" customFormat="1" hidden="1" x14ac:dyDescent="0.2">
      <c r="A105" s="35" t="s">
        <v>506</v>
      </c>
      <c r="B105" s="36">
        <v>46153</v>
      </c>
      <c r="C105" s="53" t="s">
        <v>457</v>
      </c>
      <c r="D105" s="52" t="s">
        <v>12</v>
      </c>
      <c r="E105" s="52" t="s">
        <v>12</v>
      </c>
      <c r="F105" s="52" t="s">
        <v>12</v>
      </c>
      <c r="G105" s="55" t="str">
        <f t="shared" si="6"/>
        <v>ABSENT</v>
      </c>
      <c r="H105" s="37">
        <f t="shared" si="7"/>
        <v>-4.1666666666666664E-2</v>
      </c>
      <c r="I105" s="38" t="str">
        <f t="shared" si="5"/>
        <v>NO OT</v>
      </c>
    </row>
    <row r="106" spans="1:9" s="54" customFormat="1" hidden="1" x14ac:dyDescent="0.2">
      <c r="A106" s="35" t="s">
        <v>506</v>
      </c>
      <c r="B106" s="36">
        <v>46154</v>
      </c>
      <c r="C106" s="53" t="s">
        <v>458</v>
      </c>
      <c r="D106" s="52" t="s">
        <v>12</v>
      </c>
      <c r="E106" s="52" t="s">
        <v>12</v>
      </c>
      <c r="F106" s="52" t="s">
        <v>12</v>
      </c>
      <c r="G106" s="55" t="str">
        <f t="shared" si="6"/>
        <v>ABSENT</v>
      </c>
      <c r="H106" s="37">
        <f t="shared" si="7"/>
        <v>-4.1666666666666664E-2</v>
      </c>
      <c r="I106" s="38" t="str">
        <f t="shared" si="5"/>
        <v>NO OT</v>
      </c>
    </row>
    <row r="107" spans="1:9" s="54" customFormat="1" hidden="1" x14ac:dyDescent="0.2">
      <c r="A107" s="35" t="s">
        <v>506</v>
      </c>
      <c r="B107" s="36">
        <v>46155</v>
      </c>
      <c r="C107" s="53" t="s">
        <v>459</v>
      </c>
      <c r="D107" s="52" t="s">
        <v>514</v>
      </c>
      <c r="E107" s="52" t="s">
        <v>197</v>
      </c>
      <c r="F107" s="52" t="s">
        <v>375</v>
      </c>
      <c r="G107" s="35" t="str">
        <f t="shared" si="6"/>
        <v>LATE</v>
      </c>
      <c r="H107" s="37">
        <f t="shared" si="7"/>
        <v>0.31319444444444439</v>
      </c>
      <c r="I107" s="38" t="str">
        <f t="shared" si="5"/>
        <v>NO OT</v>
      </c>
    </row>
    <row r="108" spans="1:9" s="54" customFormat="1" hidden="1" x14ac:dyDescent="0.2">
      <c r="A108" s="35" t="s">
        <v>506</v>
      </c>
      <c r="B108" s="36">
        <v>46156</v>
      </c>
      <c r="C108" s="53" t="s">
        <v>460</v>
      </c>
      <c r="D108" s="52" t="s">
        <v>216</v>
      </c>
      <c r="E108" s="52" t="s">
        <v>214</v>
      </c>
      <c r="F108" s="52" t="s">
        <v>501</v>
      </c>
      <c r="G108" s="35" t="str">
        <f t="shared" si="6"/>
        <v>LATE</v>
      </c>
      <c r="H108" s="37">
        <f t="shared" si="7"/>
        <v>0.3166666666666666</v>
      </c>
      <c r="I108" s="38" t="str">
        <f t="shared" si="5"/>
        <v>NO OT</v>
      </c>
    </row>
    <row r="109" spans="1:9" s="54" customFormat="1" hidden="1" x14ac:dyDescent="0.2">
      <c r="A109" s="35" t="s">
        <v>506</v>
      </c>
      <c r="B109" s="36">
        <v>46157</v>
      </c>
      <c r="C109" s="53" t="s">
        <v>461</v>
      </c>
      <c r="D109" s="52" t="s">
        <v>514</v>
      </c>
      <c r="E109" s="52" t="s">
        <v>197</v>
      </c>
      <c r="F109" s="52" t="s">
        <v>375</v>
      </c>
      <c r="G109" s="35" t="str">
        <f t="shared" si="6"/>
        <v>LATE</v>
      </c>
      <c r="H109" s="37">
        <f t="shared" si="7"/>
        <v>0.31319444444444439</v>
      </c>
      <c r="I109" s="38" t="str">
        <f t="shared" si="5"/>
        <v>NO OT</v>
      </c>
    </row>
    <row r="110" spans="1:9" s="54" customFormat="1" hidden="1" x14ac:dyDescent="0.2">
      <c r="A110" s="35" t="s">
        <v>506</v>
      </c>
      <c r="B110" s="36">
        <v>46158</v>
      </c>
      <c r="C110" s="53" t="s">
        <v>463</v>
      </c>
      <c r="D110" s="52" t="s">
        <v>285</v>
      </c>
      <c r="E110" s="52" t="s">
        <v>267</v>
      </c>
      <c r="F110" s="52" t="s">
        <v>497</v>
      </c>
      <c r="G110" s="35" t="str">
        <f t="shared" si="6"/>
        <v>LATE</v>
      </c>
      <c r="H110" s="37">
        <f t="shared" si="7"/>
        <v>0.31736111111111098</v>
      </c>
      <c r="I110" s="38" t="str">
        <f t="shared" si="5"/>
        <v>NO OT</v>
      </c>
    </row>
    <row r="111" spans="1:9" s="54" customFormat="1" hidden="1" x14ac:dyDescent="0.2">
      <c r="A111" s="35" t="s">
        <v>506</v>
      </c>
      <c r="B111" s="36">
        <v>46159</v>
      </c>
      <c r="C111" s="55" t="s">
        <v>456</v>
      </c>
      <c r="D111" s="52"/>
      <c r="E111" s="52"/>
      <c r="F111" s="52"/>
      <c r="G111" s="55" t="str">
        <f t="shared" si="6"/>
        <v>SUNDAY</v>
      </c>
      <c r="H111" s="37">
        <f t="shared" si="7"/>
        <v>0</v>
      </c>
      <c r="I111" s="38" t="str">
        <f t="shared" si="5"/>
        <v>NO OT</v>
      </c>
    </row>
    <row r="112" spans="1:9" s="54" customFormat="1" hidden="1" x14ac:dyDescent="0.2">
      <c r="A112" s="35" t="s">
        <v>506</v>
      </c>
      <c r="B112" s="36">
        <v>46160</v>
      </c>
      <c r="C112" s="53" t="s">
        <v>457</v>
      </c>
      <c r="D112" s="52" t="s">
        <v>224</v>
      </c>
      <c r="E112" s="52" t="s">
        <v>658</v>
      </c>
      <c r="F112" s="52" t="s">
        <v>523</v>
      </c>
      <c r="G112" s="35" t="str">
        <f t="shared" si="6"/>
        <v>LATE</v>
      </c>
      <c r="H112" s="37">
        <f t="shared" si="7"/>
        <v>0.35486111111111107</v>
      </c>
      <c r="I112" s="48" t="str">
        <f t="shared" si="5"/>
        <v>00:19</v>
      </c>
    </row>
    <row r="113" spans="1:9" s="54" customFormat="1" hidden="1" x14ac:dyDescent="0.2">
      <c r="A113" s="35" t="s">
        <v>506</v>
      </c>
      <c r="B113" s="36">
        <v>46161</v>
      </c>
      <c r="C113" s="53" t="s">
        <v>458</v>
      </c>
      <c r="D113" s="52" t="s">
        <v>351</v>
      </c>
      <c r="E113" s="52" t="s">
        <v>601</v>
      </c>
      <c r="F113" s="52" t="s">
        <v>210</v>
      </c>
      <c r="G113" s="35" t="str">
        <f t="shared" si="6"/>
        <v>OK</v>
      </c>
      <c r="H113" s="37">
        <f t="shared" si="7"/>
        <v>0.33263888888888882</v>
      </c>
      <c r="I113" s="38" t="str">
        <f t="shared" si="5"/>
        <v>NO OT</v>
      </c>
    </row>
    <row r="114" spans="1:9" s="54" customFormat="1" hidden="1" x14ac:dyDescent="0.2">
      <c r="A114" s="35" t="s">
        <v>506</v>
      </c>
      <c r="B114" s="36">
        <v>46162</v>
      </c>
      <c r="C114" s="53" t="s">
        <v>459</v>
      </c>
      <c r="D114" s="52" t="s">
        <v>189</v>
      </c>
      <c r="E114" s="52" t="s">
        <v>223</v>
      </c>
      <c r="F114" s="52" t="s">
        <v>213</v>
      </c>
      <c r="G114" s="35" t="str">
        <f t="shared" si="6"/>
        <v>OK</v>
      </c>
      <c r="H114" s="37">
        <f t="shared" si="7"/>
        <v>0.33124999999999993</v>
      </c>
      <c r="I114" s="38" t="str">
        <f t="shared" si="5"/>
        <v>NO OT</v>
      </c>
    </row>
    <row r="115" spans="1:9" s="54" customFormat="1" hidden="1" x14ac:dyDescent="0.2">
      <c r="A115" s="35" t="s">
        <v>506</v>
      </c>
      <c r="B115" s="36">
        <v>46163</v>
      </c>
      <c r="C115" s="53" t="s">
        <v>460</v>
      </c>
      <c r="D115" s="52" t="s">
        <v>12</v>
      </c>
      <c r="E115" s="52" t="s">
        <v>12</v>
      </c>
      <c r="F115" s="52" t="s">
        <v>12</v>
      </c>
      <c r="G115" s="55" t="str">
        <f t="shared" si="6"/>
        <v>ABSENT</v>
      </c>
      <c r="H115" s="37">
        <f t="shared" si="7"/>
        <v>-4.1666666666666664E-2</v>
      </c>
      <c r="I115" s="38" t="str">
        <f t="shared" si="5"/>
        <v>NO OT</v>
      </c>
    </row>
    <row r="116" spans="1:9" s="54" customFormat="1" hidden="1" x14ac:dyDescent="0.2">
      <c r="A116" s="35" t="s">
        <v>506</v>
      </c>
      <c r="B116" s="36">
        <v>46164</v>
      </c>
      <c r="C116" s="53" t="s">
        <v>461</v>
      </c>
      <c r="D116" s="52" t="s">
        <v>269</v>
      </c>
      <c r="E116" s="52" t="s">
        <v>212</v>
      </c>
      <c r="F116" s="52" t="s">
        <v>307</v>
      </c>
      <c r="G116" s="35" t="str">
        <f t="shared" si="6"/>
        <v>OK</v>
      </c>
      <c r="H116" s="37">
        <f t="shared" si="7"/>
        <v>0.33055555555555544</v>
      </c>
      <c r="I116" s="38" t="str">
        <f t="shared" si="5"/>
        <v>NO OT</v>
      </c>
    </row>
    <row r="117" spans="1:9" s="54" customFormat="1" hidden="1" x14ac:dyDescent="0.2">
      <c r="A117" s="35" t="s">
        <v>506</v>
      </c>
      <c r="B117" s="36">
        <v>46165</v>
      </c>
      <c r="C117" s="53" t="s">
        <v>463</v>
      </c>
      <c r="D117" s="52" t="s">
        <v>189</v>
      </c>
      <c r="E117" s="52" t="s">
        <v>303</v>
      </c>
      <c r="F117" s="52" t="s">
        <v>262</v>
      </c>
      <c r="G117" s="35" t="str">
        <f t="shared" si="6"/>
        <v>OK</v>
      </c>
      <c r="H117" s="37">
        <f t="shared" si="7"/>
        <v>0.32361111111111107</v>
      </c>
      <c r="I117" s="38" t="str">
        <f t="shared" si="5"/>
        <v>NO OT</v>
      </c>
    </row>
    <row r="118" spans="1:9" s="54" customFormat="1" hidden="1" x14ac:dyDescent="0.2">
      <c r="A118" s="35" t="s">
        <v>506</v>
      </c>
      <c r="B118" s="36">
        <v>46166</v>
      </c>
      <c r="C118" s="55" t="s">
        <v>456</v>
      </c>
      <c r="D118" s="52"/>
      <c r="E118" s="52"/>
      <c r="F118" s="52"/>
      <c r="G118" s="55" t="str">
        <f t="shared" si="6"/>
        <v>SUNDAY</v>
      </c>
      <c r="H118" s="37">
        <f t="shared" si="7"/>
        <v>0</v>
      </c>
      <c r="I118" s="38" t="str">
        <f t="shared" si="5"/>
        <v>NO OT</v>
      </c>
    </row>
    <row r="119" spans="1:9" s="54" customFormat="1" hidden="1" x14ac:dyDescent="0.2">
      <c r="A119" s="35" t="s">
        <v>506</v>
      </c>
      <c r="B119" s="36">
        <v>46167</v>
      </c>
      <c r="C119" s="53" t="s">
        <v>457</v>
      </c>
      <c r="D119" s="52" t="s">
        <v>224</v>
      </c>
      <c r="E119" s="52" t="s">
        <v>214</v>
      </c>
      <c r="F119" s="52" t="s">
        <v>316</v>
      </c>
      <c r="G119" s="35" t="str">
        <f t="shared" si="6"/>
        <v>LATE</v>
      </c>
      <c r="H119" s="37">
        <f t="shared" si="7"/>
        <v>0.31874999999999987</v>
      </c>
      <c r="I119" s="38" t="str">
        <f t="shared" si="5"/>
        <v>NO OT</v>
      </c>
    </row>
    <row r="120" spans="1:9" s="54" customFormat="1" hidden="1" x14ac:dyDescent="0.2">
      <c r="A120" s="35" t="s">
        <v>506</v>
      </c>
      <c r="B120" s="36">
        <v>46168</v>
      </c>
      <c r="C120" s="53" t="s">
        <v>458</v>
      </c>
      <c r="D120" s="52" t="s">
        <v>192</v>
      </c>
      <c r="E120" s="52" t="s">
        <v>677</v>
      </c>
      <c r="F120" s="52" t="s">
        <v>587</v>
      </c>
      <c r="G120" s="35" t="str">
        <f t="shared" si="6"/>
        <v>LATE</v>
      </c>
      <c r="H120" s="37">
        <f t="shared" si="7"/>
        <v>0.23263888888888892</v>
      </c>
      <c r="I120" s="38" t="str">
        <f t="shared" si="5"/>
        <v>NO OT</v>
      </c>
    </row>
    <row r="121" spans="1:9" s="54" customFormat="1" hidden="1" x14ac:dyDescent="0.2">
      <c r="A121" s="35" t="s">
        <v>506</v>
      </c>
      <c r="B121" s="36">
        <v>46169</v>
      </c>
      <c r="C121" s="53" t="s">
        <v>459</v>
      </c>
      <c r="D121" s="52" t="s">
        <v>54</v>
      </c>
      <c r="E121" s="52" t="s">
        <v>678</v>
      </c>
      <c r="F121" s="52" t="s">
        <v>221</v>
      </c>
      <c r="G121" s="35" t="str">
        <f t="shared" si="6"/>
        <v>LATE</v>
      </c>
      <c r="H121" s="37">
        <f t="shared" si="7"/>
        <v>0.33333333333333326</v>
      </c>
      <c r="I121" s="38" t="str">
        <f t="shared" si="5"/>
        <v>NO OT</v>
      </c>
    </row>
    <row r="122" spans="1:9" s="54" customFormat="1" hidden="1" x14ac:dyDescent="0.2">
      <c r="A122" s="35" t="s">
        <v>506</v>
      </c>
      <c r="B122" s="36">
        <v>46170</v>
      </c>
      <c r="C122" s="53" t="s">
        <v>460</v>
      </c>
      <c r="D122" s="52"/>
      <c r="E122" s="52"/>
      <c r="F122" s="52"/>
      <c r="G122" s="55" t="s">
        <v>721</v>
      </c>
      <c r="H122" s="37">
        <f t="shared" si="7"/>
        <v>0</v>
      </c>
      <c r="I122" s="38" t="str">
        <f t="shared" si="5"/>
        <v>NO OT</v>
      </c>
    </row>
    <row r="123" spans="1:9" s="54" customFormat="1" hidden="1" x14ac:dyDescent="0.2">
      <c r="A123" s="35" t="s">
        <v>506</v>
      </c>
      <c r="B123" s="36">
        <v>46171</v>
      </c>
      <c r="C123" s="53" t="s">
        <v>461</v>
      </c>
      <c r="D123" s="52" t="s">
        <v>315</v>
      </c>
      <c r="E123" s="52" t="s">
        <v>277</v>
      </c>
      <c r="F123" s="52" t="s">
        <v>246</v>
      </c>
      <c r="G123" s="35" t="str">
        <f t="shared" si="6"/>
        <v>OK</v>
      </c>
      <c r="H123" s="37">
        <f t="shared" si="7"/>
        <v>0.27361111111111108</v>
      </c>
      <c r="I123" s="38" t="str">
        <f t="shared" si="5"/>
        <v>NO OT</v>
      </c>
    </row>
    <row r="124" spans="1:9" s="54" customFormat="1" hidden="1" x14ac:dyDescent="0.2">
      <c r="A124" s="35" t="s">
        <v>506</v>
      </c>
      <c r="B124" s="36">
        <v>46172</v>
      </c>
      <c r="C124" s="53" t="s">
        <v>463</v>
      </c>
      <c r="D124" s="52" t="s">
        <v>325</v>
      </c>
      <c r="E124" s="52" t="s">
        <v>220</v>
      </c>
      <c r="F124" s="52" t="s">
        <v>656</v>
      </c>
      <c r="G124" s="35" t="str">
        <f t="shared" si="6"/>
        <v>LATE</v>
      </c>
      <c r="H124" s="37">
        <f t="shared" si="7"/>
        <v>0.32291666666666663</v>
      </c>
      <c r="I124" s="38" t="str">
        <f t="shared" si="5"/>
        <v>NO OT</v>
      </c>
    </row>
    <row r="125" spans="1:9" s="54" customFormat="1" hidden="1" x14ac:dyDescent="0.2">
      <c r="A125" s="35" t="s">
        <v>506</v>
      </c>
      <c r="B125" s="36">
        <v>46173</v>
      </c>
      <c r="C125" s="55" t="s">
        <v>456</v>
      </c>
      <c r="D125" s="52"/>
      <c r="E125" s="52"/>
      <c r="F125" s="52"/>
      <c r="G125" s="55" t="str">
        <f t="shared" si="6"/>
        <v>SUNDAY</v>
      </c>
      <c r="H125" s="37">
        <f t="shared" si="7"/>
        <v>0</v>
      </c>
      <c r="I125" s="38" t="str">
        <f t="shared" si="5"/>
        <v>NO OT</v>
      </c>
    </row>
    <row r="126" spans="1:9" s="54" customFormat="1" hidden="1" x14ac:dyDescent="0.2">
      <c r="A126" s="35" t="s">
        <v>109</v>
      </c>
      <c r="B126" s="36">
        <v>46143</v>
      </c>
      <c r="C126" s="53" t="s">
        <v>461</v>
      </c>
      <c r="D126" s="52" t="s">
        <v>351</v>
      </c>
      <c r="E126" s="52" t="s">
        <v>203</v>
      </c>
      <c r="F126" s="52" t="s">
        <v>213</v>
      </c>
      <c r="G126" s="35" t="str">
        <f t="shared" si="6"/>
        <v>OK</v>
      </c>
      <c r="H126" s="37">
        <f t="shared" si="7"/>
        <v>0.33125000000000004</v>
      </c>
      <c r="I126" s="38" t="str">
        <f t="shared" si="5"/>
        <v>NO OT</v>
      </c>
    </row>
    <row r="127" spans="1:9" s="54" customFormat="1" hidden="1" x14ac:dyDescent="0.2">
      <c r="A127" s="35" t="s">
        <v>109</v>
      </c>
      <c r="B127" s="36">
        <v>46144</v>
      </c>
      <c r="C127" s="53" t="s">
        <v>463</v>
      </c>
      <c r="D127" s="52" t="s">
        <v>224</v>
      </c>
      <c r="E127" s="52" t="s">
        <v>311</v>
      </c>
      <c r="F127" s="52" t="s">
        <v>262</v>
      </c>
      <c r="G127" s="35" t="str">
        <f t="shared" si="6"/>
        <v>LATE</v>
      </c>
      <c r="H127" s="37">
        <f t="shared" si="7"/>
        <v>0.32361111111111107</v>
      </c>
      <c r="I127" s="38" t="str">
        <f t="shared" si="5"/>
        <v>NO OT</v>
      </c>
    </row>
    <row r="128" spans="1:9" s="54" customFormat="1" hidden="1" x14ac:dyDescent="0.2">
      <c r="A128" s="35" t="s">
        <v>109</v>
      </c>
      <c r="B128" s="36">
        <v>46145</v>
      </c>
      <c r="C128" s="55" t="s">
        <v>456</v>
      </c>
      <c r="D128" s="52"/>
      <c r="E128" s="52"/>
      <c r="F128" s="52"/>
      <c r="G128" s="55" t="str">
        <f t="shared" si="6"/>
        <v>SUNDAY</v>
      </c>
      <c r="H128" s="37">
        <f t="shared" si="7"/>
        <v>0</v>
      </c>
      <c r="I128" s="38" t="str">
        <f t="shared" si="5"/>
        <v>NO OT</v>
      </c>
    </row>
    <row r="129" spans="1:9" s="54" customFormat="1" hidden="1" x14ac:dyDescent="0.2">
      <c r="A129" s="35" t="s">
        <v>109</v>
      </c>
      <c r="B129" s="36">
        <v>46146</v>
      </c>
      <c r="C129" s="53" t="s">
        <v>457</v>
      </c>
      <c r="D129" s="52" t="s">
        <v>322</v>
      </c>
      <c r="E129" s="52" t="s">
        <v>679</v>
      </c>
      <c r="F129" s="52" t="s">
        <v>252</v>
      </c>
      <c r="G129" s="35" t="str">
        <f t="shared" si="6"/>
        <v>LATE</v>
      </c>
      <c r="H129" s="37">
        <f t="shared" si="7"/>
        <v>0.33680555555555558</v>
      </c>
      <c r="I129" s="38" t="str">
        <f t="shared" si="5"/>
        <v>NO OT</v>
      </c>
    </row>
    <row r="130" spans="1:9" s="54" customFormat="1" hidden="1" x14ac:dyDescent="0.2">
      <c r="A130" s="35" t="s">
        <v>109</v>
      </c>
      <c r="B130" s="36">
        <v>46147</v>
      </c>
      <c r="C130" s="53" t="s">
        <v>458</v>
      </c>
      <c r="D130" s="52" t="s">
        <v>12</v>
      </c>
      <c r="E130" s="52" t="s">
        <v>12</v>
      </c>
      <c r="F130" s="52" t="s">
        <v>12</v>
      </c>
      <c r="G130" s="55" t="str">
        <f t="shared" si="6"/>
        <v>ABSENT</v>
      </c>
      <c r="H130" s="37">
        <f t="shared" si="7"/>
        <v>-4.1666666666666664E-2</v>
      </c>
      <c r="I130" s="38" t="str">
        <f t="shared" si="5"/>
        <v>NO OT</v>
      </c>
    </row>
    <row r="131" spans="1:9" s="54" customFormat="1" hidden="1" x14ac:dyDescent="0.2">
      <c r="A131" s="35" t="s">
        <v>109</v>
      </c>
      <c r="B131" s="36">
        <v>46148</v>
      </c>
      <c r="C131" s="53" t="s">
        <v>459</v>
      </c>
      <c r="D131" s="52" t="s">
        <v>253</v>
      </c>
      <c r="E131" s="52" t="s">
        <v>601</v>
      </c>
      <c r="F131" s="52" t="s">
        <v>373</v>
      </c>
      <c r="G131" s="35" t="str">
        <f t="shared" si="6"/>
        <v>LATE</v>
      </c>
      <c r="H131" s="37">
        <f t="shared" si="7"/>
        <v>0.32638888888888878</v>
      </c>
      <c r="I131" s="38" t="str">
        <f t="shared" si="5"/>
        <v>NO OT</v>
      </c>
    </row>
    <row r="132" spans="1:9" s="54" customFormat="1" hidden="1" x14ac:dyDescent="0.2">
      <c r="A132" s="35" t="s">
        <v>109</v>
      </c>
      <c r="B132" s="36">
        <v>46149</v>
      </c>
      <c r="C132" s="53" t="s">
        <v>460</v>
      </c>
      <c r="D132" s="52" t="s">
        <v>291</v>
      </c>
      <c r="E132" s="52" t="s">
        <v>680</v>
      </c>
      <c r="F132" s="52" t="s">
        <v>681</v>
      </c>
      <c r="G132" s="35" t="str">
        <f t="shared" si="6"/>
        <v>LATE</v>
      </c>
      <c r="H132" s="37">
        <f t="shared" si="7"/>
        <v>0.23888888888888896</v>
      </c>
      <c r="I132" s="38" t="str">
        <f t="shared" ref="I132:I195" si="8">IF(VALUE(E132) &gt; TIME(19,0,0), TEXT(VALUE(E132) - TIME(19,0,0), "hh:mm"), "NO OT")</f>
        <v>NO OT</v>
      </c>
    </row>
    <row r="133" spans="1:9" s="54" customFormat="1" hidden="1" x14ac:dyDescent="0.2">
      <c r="A133" s="35" t="s">
        <v>109</v>
      </c>
      <c r="B133" s="36">
        <v>46150</v>
      </c>
      <c r="C133" s="53" t="s">
        <v>461</v>
      </c>
      <c r="D133" s="52" t="s">
        <v>199</v>
      </c>
      <c r="E133" s="52" t="s">
        <v>212</v>
      </c>
      <c r="F133" s="52" t="s">
        <v>271</v>
      </c>
      <c r="G133" s="35" t="str">
        <f t="shared" si="6"/>
        <v>LATE</v>
      </c>
      <c r="H133" s="37">
        <f t="shared" si="7"/>
        <v>0.32083333333333325</v>
      </c>
      <c r="I133" s="38" t="str">
        <f t="shared" si="8"/>
        <v>NO OT</v>
      </c>
    </row>
    <row r="134" spans="1:9" s="54" customFormat="1" hidden="1" x14ac:dyDescent="0.2">
      <c r="A134" s="35" t="s">
        <v>109</v>
      </c>
      <c r="B134" s="36">
        <v>46151</v>
      </c>
      <c r="C134" s="53" t="s">
        <v>463</v>
      </c>
      <c r="D134" s="52" t="s">
        <v>325</v>
      </c>
      <c r="E134" s="52" t="s">
        <v>214</v>
      </c>
      <c r="F134" s="52" t="s">
        <v>321</v>
      </c>
      <c r="G134" s="35" t="str">
        <f t="shared" si="6"/>
        <v>LATE</v>
      </c>
      <c r="H134" s="37">
        <f t="shared" si="7"/>
        <v>0.3159722222222221</v>
      </c>
      <c r="I134" s="38" t="str">
        <f t="shared" si="8"/>
        <v>NO OT</v>
      </c>
    </row>
    <row r="135" spans="1:9" s="54" customFormat="1" hidden="1" x14ac:dyDescent="0.2">
      <c r="A135" s="35" t="s">
        <v>109</v>
      </c>
      <c r="B135" s="36">
        <v>46152</v>
      </c>
      <c r="C135" s="55" t="s">
        <v>456</v>
      </c>
      <c r="D135" s="52"/>
      <c r="E135" s="52"/>
      <c r="F135" s="52"/>
      <c r="G135" s="55" t="str">
        <f t="shared" si="6"/>
        <v>SUNDAY</v>
      </c>
      <c r="H135" s="37">
        <f t="shared" si="7"/>
        <v>0</v>
      </c>
      <c r="I135" s="38" t="str">
        <f t="shared" si="8"/>
        <v>NO OT</v>
      </c>
    </row>
    <row r="136" spans="1:9" s="54" customFormat="1" hidden="1" x14ac:dyDescent="0.2">
      <c r="A136" s="35" t="s">
        <v>109</v>
      </c>
      <c r="B136" s="36">
        <v>46153</v>
      </c>
      <c r="C136" s="53" t="s">
        <v>457</v>
      </c>
      <c r="D136" s="52" t="s">
        <v>682</v>
      </c>
      <c r="E136" s="52" t="s">
        <v>683</v>
      </c>
      <c r="F136" s="52" t="s">
        <v>237</v>
      </c>
      <c r="G136" s="35" t="str">
        <f t="shared" si="6"/>
        <v>LATE</v>
      </c>
      <c r="H136" s="37">
        <f t="shared" si="7"/>
        <v>0.29166666666666674</v>
      </c>
      <c r="I136" s="48" t="str">
        <f t="shared" si="8"/>
        <v>00:36</v>
      </c>
    </row>
    <row r="137" spans="1:9" s="54" customFormat="1" hidden="1" x14ac:dyDescent="0.2">
      <c r="A137" s="35" t="s">
        <v>109</v>
      </c>
      <c r="B137" s="36">
        <v>46154</v>
      </c>
      <c r="C137" s="53" t="s">
        <v>458</v>
      </c>
      <c r="D137" s="52" t="s">
        <v>229</v>
      </c>
      <c r="E137" s="52" t="s">
        <v>630</v>
      </c>
      <c r="F137" s="52" t="s">
        <v>375</v>
      </c>
      <c r="G137" s="35" t="str">
        <f t="shared" si="6"/>
        <v>LATE</v>
      </c>
      <c r="H137" s="37">
        <f t="shared" si="7"/>
        <v>0.31319444444444444</v>
      </c>
      <c r="I137" s="38" t="str">
        <f t="shared" si="8"/>
        <v>NO OT</v>
      </c>
    </row>
    <row r="138" spans="1:9" s="54" customFormat="1" hidden="1" x14ac:dyDescent="0.2">
      <c r="A138" s="35" t="s">
        <v>109</v>
      </c>
      <c r="B138" s="36">
        <v>46155</v>
      </c>
      <c r="C138" s="53" t="s">
        <v>459</v>
      </c>
      <c r="D138" s="52" t="s">
        <v>211</v>
      </c>
      <c r="E138" s="52" t="s">
        <v>223</v>
      </c>
      <c r="F138" s="52" t="s">
        <v>350</v>
      </c>
      <c r="G138" s="35" t="str">
        <f t="shared" si="6"/>
        <v>OK</v>
      </c>
      <c r="H138" s="37">
        <f t="shared" si="7"/>
        <v>0.3340277777777777</v>
      </c>
      <c r="I138" s="38" t="str">
        <f t="shared" si="8"/>
        <v>NO OT</v>
      </c>
    </row>
    <row r="139" spans="1:9" s="54" customFormat="1" hidden="1" x14ac:dyDescent="0.2">
      <c r="A139" s="35" t="s">
        <v>109</v>
      </c>
      <c r="B139" s="36">
        <v>46156</v>
      </c>
      <c r="C139" s="53" t="s">
        <v>460</v>
      </c>
      <c r="D139" s="52" t="s">
        <v>229</v>
      </c>
      <c r="E139" s="52" t="s">
        <v>505</v>
      </c>
      <c r="F139" s="52" t="s">
        <v>345</v>
      </c>
      <c r="G139" s="35" t="str">
        <f t="shared" si="6"/>
        <v>LATE</v>
      </c>
      <c r="H139" s="37">
        <f t="shared" si="7"/>
        <v>0.3388888888888888</v>
      </c>
      <c r="I139" s="38" t="str">
        <f t="shared" si="8"/>
        <v>NO OT</v>
      </c>
    </row>
    <row r="140" spans="1:9" s="54" customFormat="1" hidden="1" x14ac:dyDescent="0.2">
      <c r="A140" s="35" t="s">
        <v>109</v>
      </c>
      <c r="B140" s="36">
        <v>46157</v>
      </c>
      <c r="C140" s="53" t="s">
        <v>461</v>
      </c>
      <c r="D140" s="52" t="s">
        <v>255</v>
      </c>
      <c r="E140" s="52" t="s">
        <v>220</v>
      </c>
      <c r="F140" s="52" t="s">
        <v>191</v>
      </c>
      <c r="G140" s="35" t="str">
        <f t="shared" si="6"/>
        <v>OK</v>
      </c>
      <c r="H140" s="37">
        <f t="shared" si="7"/>
        <v>0.32916666666666666</v>
      </c>
      <c r="I140" s="38" t="str">
        <f t="shared" si="8"/>
        <v>NO OT</v>
      </c>
    </row>
    <row r="141" spans="1:9" s="54" customFormat="1" hidden="1" x14ac:dyDescent="0.2">
      <c r="A141" s="35" t="s">
        <v>109</v>
      </c>
      <c r="B141" s="36">
        <v>46158</v>
      </c>
      <c r="C141" s="53" t="s">
        <v>463</v>
      </c>
      <c r="D141" s="52" t="s">
        <v>305</v>
      </c>
      <c r="E141" s="52" t="s">
        <v>220</v>
      </c>
      <c r="F141" s="52" t="s">
        <v>347</v>
      </c>
      <c r="G141" s="35" t="str">
        <f t="shared" si="6"/>
        <v>OK</v>
      </c>
      <c r="H141" s="37">
        <f t="shared" si="7"/>
        <v>0.32777777777777778</v>
      </c>
      <c r="I141" s="38" t="str">
        <f t="shared" si="8"/>
        <v>NO OT</v>
      </c>
    </row>
    <row r="142" spans="1:9" s="54" customFormat="1" hidden="1" x14ac:dyDescent="0.2">
      <c r="A142" s="35" t="s">
        <v>109</v>
      </c>
      <c r="B142" s="36">
        <v>46159</v>
      </c>
      <c r="C142" s="55" t="s">
        <v>456</v>
      </c>
      <c r="D142" s="52"/>
      <c r="E142" s="52"/>
      <c r="F142" s="52"/>
      <c r="G142" s="55" t="str">
        <f t="shared" si="6"/>
        <v>SUNDAY</v>
      </c>
      <c r="H142" s="37">
        <f t="shared" si="7"/>
        <v>0</v>
      </c>
      <c r="I142" s="38" t="str">
        <f t="shared" si="8"/>
        <v>NO OT</v>
      </c>
    </row>
    <row r="143" spans="1:9" s="54" customFormat="1" hidden="1" x14ac:dyDescent="0.2">
      <c r="A143" s="35" t="s">
        <v>109</v>
      </c>
      <c r="B143" s="36">
        <v>46160</v>
      </c>
      <c r="C143" s="53" t="s">
        <v>457</v>
      </c>
      <c r="D143" s="52" t="s">
        <v>264</v>
      </c>
      <c r="E143" s="52" t="s">
        <v>684</v>
      </c>
      <c r="F143" s="52" t="s">
        <v>613</v>
      </c>
      <c r="G143" s="35" t="str">
        <f t="shared" si="6"/>
        <v>LATE</v>
      </c>
      <c r="H143" s="37">
        <f t="shared" si="7"/>
        <v>0.35208333333333336</v>
      </c>
      <c r="I143" s="48" t="str">
        <f t="shared" si="8"/>
        <v>00:22</v>
      </c>
    </row>
    <row r="144" spans="1:9" s="54" customFormat="1" hidden="1" x14ac:dyDescent="0.2">
      <c r="A144" s="35" t="s">
        <v>109</v>
      </c>
      <c r="B144" s="36">
        <v>46161</v>
      </c>
      <c r="C144" s="53" t="s">
        <v>458</v>
      </c>
      <c r="D144" s="52" t="s">
        <v>305</v>
      </c>
      <c r="E144" s="52" t="s">
        <v>489</v>
      </c>
      <c r="F144" s="52" t="s">
        <v>263</v>
      </c>
      <c r="G144" s="35" t="str">
        <f t="shared" si="6"/>
        <v>OK</v>
      </c>
      <c r="H144" s="37">
        <f t="shared" si="7"/>
        <v>0.34652777777777771</v>
      </c>
      <c r="I144" s="48" t="str">
        <f t="shared" si="8"/>
        <v>00:04</v>
      </c>
    </row>
    <row r="145" spans="1:9" s="54" customFormat="1" hidden="1" x14ac:dyDescent="0.2">
      <c r="A145" s="35" t="s">
        <v>109</v>
      </c>
      <c r="B145" s="36">
        <v>46162</v>
      </c>
      <c r="C145" s="53" t="s">
        <v>459</v>
      </c>
      <c r="D145" s="52" t="s">
        <v>222</v>
      </c>
      <c r="E145" s="52" t="s">
        <v>389</v>
      </c>
      <c r="F145" s="52" t="s">
        <v>365</v>
      </c>
      <c r="G145" s="35" t="str">
        <f t="shared" si="6"/>
        <v>OK</v>
      </c>
      <c r="H145" s="37">
        <f t="shared" si="7"/>
        <v>0.33541666666666659</v>
      </c>
      <c r="I145" s="38" t="str">
        <f t="shared" si="8"/>
        <v>NO OT</v>
      </c>
    </row>
    <row r="146" spans="1:9" s="54" customFormat="1" hidden="1" x14ac:dyDescent="0.2">
      <c r="A146" s="35" t="s">
        <v>109</v>
      </c>
      <c r="B146" s="36">
        <v>46163</v>
      </c>
      <c r="C146" s="53" t="s">
        <v>460</v>
      </c>
      <c r="D146" s="52" t="s">
        <v>305</v>
      </c>
      <c r="E146" s="52" t="s">
        <v>685</v>
      </c>
      <c r="F146" s="52" t="s">
        <v>620</v>
      </c>
      <c r="G146" s="35" t="str">
        <f t="shared" si="6"/>
        <v>OK</v>
      </c>
      <c r="H146" s="37">
        <f t="shared" si="7"/>
        <v>0.34027777777777785</v>
      </c>
      <c r="I146" s="38" t="str">
        <f t="shared" si="8"/>
        <v>NO OT</v>
      </c>
    </row>
    <row r="147" spans="1:9" s="54" customFormat="1" hidden="1" x14ac:dyDescent="0.2">
      <c r="A147" s="35" t="s">
        <v>109</v>
      </c>
      <c r="B147" s="36">
        <v>46164</v>
      </c>
      <c r="C147" s="53" t="s">
        <v>461</v>
      </c>
      <c r="D147" s="52" t="s">
        <v>322</v>
      </c>
      <c r="E147" s="52" t="s">
        <v>349</v>
      </c>
      <c r="F147" s="52" t="s">
        <v>373</v>
      </c>
      <c r="G147" s="35" t="str">
        <f t="shared" si="6"/>
        <v>LATE</v>
      </c>
      <c r="H147" s="37">
        <f t="shared" si="7"/>
        <v>0.32638888888888884</v>
      </c>
      <c r="I147" s="38" t="str">
        <f t="shared" si="8"/>
        <v>NO OT</v>
      </c>
    </row>
    <row r="148" spans="1:9" s="54" customFormat="1" hidden="1" x14ac:dyDescent="0.2">
      <c r="A148" s="35" t="s">
        <v>109</v>
      </c>
      <c r="B148" s="36">
        <v>46165</v>
      </c>
      <c r="C148" s="53" t="s">
        <v>463</v>
      </c>
      <c r="D148" s="52" t="s">
        <v>315</v>
      </c>
      <c r="E148" s="52" t="s">
        <v>217</v>
      </c>
      <c r="F148" s="52" t="s">
        <v>213</v>
      </c>
      <c r="G148" s="35" t="str">
        <f t="shared" si="6"/>
        <v>OK</v>
      </c>
      <c r="H148" s="37">
        <f t="shared" si="7"/>
        <v>0.33124999999999999</v>
      </c>
      <c r="I148" s="38" t="str">
        <f t="shared" si="8"/>
        <v>NO OT</v>
      </c>
    </row>
    <row r="149" spans="1:9" s="54" customFormat="1" hidden="1" x14ac:dyDescent="0.2">
      <c r="A149" s="35" t="s">
        <v>109</v>
      </c>
      <c r="B149" s="36">
        <v>46166</v>
      </c>
      <c r="C149" s="55" t="s">
        <v>456</v>
      </c>
      <c r="D149" s="52"/>
      <c r="E149" s="52"/>
      <c r="F149" s="52"/>
      <c r="G149" s="55" t="str">
        <f t="shared" si="6"/>
        <v>SUNDAY</v>
      </c>
      <c r="H149" s="37">
        <f t="shared" si="7"/>
        <v>0</v>
      </c>
      <c r="I149" s="38" t="str">
        <f t="shared" si="8"/>
        <v>NO OT</v>
      </c>
    </row>
    <row r="150" spans="1:9" s="54" customFormat="1" hidden="1" x14ac:dyDescent="0.2">
      <c r="A150" s="35" t="s">
        <v>109</v>
      </c>
      <c r="B150" s="36">
        <v>46167</v>
      </c>
      <c r="C150" s="53" t="s">
        <v>457</v>
      </c>
      <c r="D150" s="52" t="s">
        <v>264</v>
      </c>
      <c r="E150" s="52" t="s">
        <v>624</v>
      </c>
      <c r="F150" s="52" t="s">
        <v>520</v>
      </c>
      <c r="G150" s="35" t="str">
        <f t="shared" si="6"/>
        <v>LATE</v>
      </c>
      <c r="H150" s="37">
        <f t="shared" si="7"/>
        <v>0.34513888888888883</v>
      </c>
      <c r="I150" s="48" t="str">
        <f t="shared" si="8"/>
        <v>00:12</v>
      </c>
    </row>
    <row r="151" spans="1:9" s="54" customFormat="1" hidden="1" x14ac:dyDescent="0.2">
      <c r="A151" s="35" t="s">
        <v>109</v>
      </c>
      <c r="B151" s="36">
        <v>46168</v>
      </c>
      <c r="C151" s="53" t="s">
        <v>458</v>
      </c>
      <c r="D151" s="52" t="s">
        <v>315</v>
      </c>
      <c r="E151" s="52" t="s">
        <v>203</v>
      </c>
      <c r="F151" s="52" t="s">
        <v>221</v>
      </c>
      <c r="G151" s="35" t="str">
        <f t="shared" si="6"/>
        <v>OK</v>
      </c>
      <c r="H151" s="37">
        <f t="shared" si="7"/>
        <v>0.33333333333333331</v>
      </c>
      <c r="I151" s="38" t="str">
        <f t="shared" si="8"/>
        <v>NO OT</v>
      </c>
    </row>
    <row r="152" spans="1:9" s="54" customFormat="1" hidden="1" x14ac:dyDescent="0.2">
      <c r="A152" s="35" t="s">
        <v>109</v>
      </c>
      <c r="B152" s="36">
        <v>46169</v>
      </c>
      <c r="C152" s="53" t="s">
        <v>459</v>
      </c>
      <c r="D152" s="52" t="s">
        <v>322</v>
      </c>
      <c r="E152" s="52" t="s">
        <v>686</v>
      </c>
      <c r="F152" s="52" t="s">
        <v>560</v>
      </c>
      <c r="G152" s="35" t="str">
        <f t="shared" si="6"/>
        <v>LATE</v>
      </c>
      <c r="H152" s="37">
        <f t="shared" si="7"/>
        <v>0.35763888888888884</v>
      </c>
      <c r="I152" s="48" t="str">
        <f t="shared" si="8"/>
        <v>00:29</v>
      </c>
    </row>
    <row r="153" spans="1:9" s="54" customFormat="1" hidden="1" x14ac:dyDescent="0.2">
      <c r="A153" s="35" t="s">
        <v>109</v>
      </c>
      <c r="B153" s="36">
        <v>46170</v>
      </c>
      <c r="C153" s="53" t="s">
        <v>460</v>
      </c>
      <c r="D153" s="52"/>
      <c r="E153" s="52"/>
      <c r="F153" s="52"/>
      <c r="G153" s="55" t="s">
        <v>721</v>
      </c>
      <c r="H153" s="37">
        <f t="shared" si="7"/>
        <v>0</v>
      </c>
      <c r="I153" s="38" t="str">
        <f t="shared" si="8"/>
        <v>NO OT</v>
      </c>
    </row>
    <row r="154" spans="1:9" s="54" customFormat="1" hidden="1" x14ac:dyDescent="0.2">
      <c r="A154" s="35" t="s">
        <v>109</v>
      </c>
      <c r="B154" s="36">
        <v>46171</v>
      </c>
      <c r="C154" s="53" t="s">
        <v>461</v>
      </c>
      <c r="D154" s="52" t="s">
        <v>224</v>
      </c>
      <c r="E154" s="52" t="s">
        <v>466</v>
      </c>
      <c r="F154" s="52" t="s">
        <v>475</v>
      </c>
      <c r="G154" s="35" t="str">
        <f t="shared" si="6"/>
        <v>LATE</v>
      </c>
      <c r="H154" s="37">
        <f t="shared" si="7"/>
        <v>0.27777777777777768</v>
      </c>
      <c r="I154" s="38" t="str">
        <f t="shared" si="8"/>
        <v>NO OT</v>
      </c>
    </row>
    <row r="155" spans="1:9" s="54" customFormat="1" hidden="1" x14ac:dyDescent="0.2">
      <c r="A155" s="35" t="s">
        <v>109</v>
      </c>
      <c r="B155" s="36">
        <v>46172</v>
      </c>
      <c r="C155" s="53" t="s">
        <v>463</v>
      </c>
      <c r="D155" s="52" t="s">
        <v>264</v>
      </c>
      <c r="E155" s="52" t="s">
        <v>346</v>
      </c>
      <c r="F155" s="52" t="s">
        <v>218</v>
      </c>
      <c r="G155" s="35" t="str">
        <f t="shared" si="6"/>
        <v>LATE</v>
      </c>
      <c r="H155" s="37">
        <f t="shared" si="7"/>
        <v>0.32430555555555557</v>
      </c>
      <c r="I155" s="38" t="str">
        <f t="shared" si="8"/>
        <v>NO OT</v>
      </c>
    </row>
    <row r="156" spans="1:9" s="54" customFormat="1" hidden="1" x14ac:dyDescent="0.2">
      <c r="A156" s="35" t="s">
        <v>109</v>
      </c>
      <c r="B156" s="36">
        <v>46173</v>
      </c>
      <c r="C156" s="55" t="s">
        <v>456</v>
      </c>
      <c r="D156" s="52"/>
      <c r="E156" s="52"/>
      <c r="F156" s="52"/>
      <c r="G156" s="55" t="str">
        <f t="shared" si="6"/>
        <v>SUNDAY</v>
      </c>
      <c r="H156" s="37">
        <f t="shared" si="7"/>
        <v>0</v>
      </c>
      <c r="I156" s="38" t="str">
        <f t="shared" si="8"/>
        <v>NO OT</v>
      </c>
    </row>
    <row r="157" spans="1:9" s="54" customFormat="1" x14ac:dyDescent="0.2">
      <c r="A157" s="35" t="s">
        <v>110</v>
      </c>
      <c r="B157" s="36">
        <v>46143</v>
      </c>
      <c r="C157" s="53" t="s">
        <v>461</v>
      </c>
      <c r="D157" s="52" t="s">
        <v>687</v>
      </c>
      <c r="E157" s="52" t="s">
        <v>254</v>
      </c>
      <c r="F157" s="52" t="s">
        <v>688</v>
      </c>
      <c r="G157" s="35" t="str">
        <f t="shared" si="6"/>
        <v>LATE</v>
      </c>
      <c r="H157" s="37">
        <f t="shared" si="7"/>
        <v>0.14097222222222225</v>
      </c>
      <c r="I157" s="38" t="str">
        <f t="shared" si="8"/>
        <v>NO OT</v>
      </c>
    </row>
    <row r="158" spans="1:9" s="54" customFormat="1" x14ac:dyDescent="0.2">
      <c r="A158" s="35" t="s">
        <v>110</v>
      </c>
      <c r="B158" s="36">
        <v>46144</v>
      </c>
      <c r="C158" s="53" t="s">
        <v>463</v>
      </c>
      <c r="D158" s="52" t="s">
        <v>165</v>
      </c>
      <c r="E158" s="52" t="s">
        <v>615</v>
      </c>
      <c r="F158" s="52" t="s">
        <v>287</v>
      </c>
      <c r="G158" s="35" t="str">
        <f t="shared" si="6"/>
        <v>LATE</v>
      </c>
      <c r="H158" s="37">
        <f t="shared" si="7"/>
        <v>0.25763888888888886</v>
      </c>
      <c r="I158" s="38" t="str">
        <f t="shared" si="8"/>
        <v>NO OT</v>
      </c>
    </row>
    <row r="159" spans="1:9" s="54" customFormat="1" x14ac:dyDescent="0.2">
      <c r="A159" s="35" t="s">
        <v>110</v>
      </c>
      <c r="B159" s="36">
        <v>46145</v>
      </c>
      <c r="C159" s="55" t="s">
        <v>456</v>
      </c>
      <c r="D159" s="52"/>
      <c r="E159" s="52"/>
      <c r="F159" s="52"/>
      <c r="G159" s="55" t="str">
        <f t="shared" si="6"/>
        <v>SUNDAY</v>
      </c>
      <c r="H159" s="37">
        <f t="shared" si="7"/>
        <v>0</v>
      </c>
      <c r="I159" s="38" t="str">
        <f t="shared" si="8"/>
        <v>NO OT</v>
      </c>
    </row>
    <row r="160" spans="1:9" s="54" customFormat="1" x14ac:dyDescent="0.2">
      <c r="A160" s="35" t="s">
        <v>110</v>
      </c>
      <c r="B160" s="36">
        <v>46146</v>
      </c>
      <c r="C160" s="53" t="s">
        <v>457</v>
      </c>
      <c r="D160" s="52" t="s">
        <v>100</v>
      </c>
      <c r="E160" s="52" t="s">
        <v>689</v>
      </c>
      <c r="F160" s="52" t="s">
        <v>690</v>
      </c>
      <c r="G160" s="35" t="str">
        <f t="shared" ref="G160:G223" si="9">IF(C160="Sunday", "SUNDAY", IF(OR(D160=0, D160="", D160="0:0"), "ABSENT", IF(MOD(D160,1) &gt; TIME(9,45,0), "LATE", "OK")))</f>
        <v>LATE</v>
      </c>
      <c r="H160" s="37">
        <f t="shared" ref="H160:H223" si="10">IF(OR(D160=0, D160="", E160=0, E160=""), 0, (E160-D160)-TIME(1,0,0))</f>
        <v>0.35624999999999996</v>
      </c>
      <c r="I160" s="48" t="str">
        <f t="shared" si="8"/>
        <v>00:34</v>
      </c>
    </row>
    <row r="161" spans="1:9" s="54" customFormat="1" x14ac:dyDescent="0.2">
      <c r="A161" s="35" t="s">
        <v>110</v>
      </c>
      <c r="B161" s="36">
        <v>46147</v>
      </c>
      <c r="C161" s="53" t="s">
        <v>458</v>
      </c>
      <c r="D161" s="52" t="s">
        <v>100</v>
      </c>
      <c r="E161" s="52" t="s">
        <v>220</v>
      </c>
      <c r="F161" s="52" t="s">
        <v>501</v>
      </c>
      <c r="G161" s="35" t="str">
        <f t="shared" si="9"/>
        <v>LATE</v>
      </c>
      <c r="H161" s="37">
        <f t="shared" si="10"/>
        <v>0.31666666666666665</v>
      </c>
      <c r="I161" s="38" t="str">
        <f t="shared" si="8"/>
        <v>NO OT</v>
      </c>
    </row>
    <row r="162" spans="1:9" s="54" customFormat="1" x14ac:dyDescent="0.2">
      <c r="A162" s="35" t="s">
        <v>110</v>
      </c>
      <c r="B162" s="36">
        <v>46148</v>
      </c>
      <c r="C162" s="53" t="s">
        <v>459</v>
      </c>
      <c r="D162" s="52" t="s">
        <v>12</v>
      </c>
      <c r="E162" s="52" t="s">
        <v>12</v>
      </c>
      <c r="F162" s="52" t="s">
        <v>12</v>
      </c>
      <c r="G162" s="55" t="str">
        <f t="shared" si="9"/>
        <v>ABSENT</v>
      </c>
      <c r="H162" s="37">
        <f t="shared" si="10"/>
        <v>-4.1666666666666664E-2</v>
      </c>
      <c r="I162" s="38" t="str">
        <f t="shared" si="8"/>
        <v>NO OT</v>
      </c>
    </row>
    <row r="163" spans="1:9" s="54" customFormat="1" x14ac:dyDescent="0.2">
      <c r="A163" s="35" t="s">
        <v>110</v>
      </c>
      <c r="B163" s="36">
        <v>46149</v>
      </c>
      <c r="C163" s="53" t="s">
        <v>460</v>
      </c>
      <c r="D163" s="52" t="s">
        <v>12</v>
      </c>
      <c r="E163" s="52" t="s">
        <v>12</v>
      </c>
      <c r="F163" s="52" t="s">
        <v>12</v>
      </c>
      <c r="G163" s="55" t="str">
        <f t="shared" si="9"/>
        <v>ABSENT</v>
      </c>
      <c r="H163" s="37">
        <f t="shared" si="10"/>
        <v>-4.1666666666666664E-2</v>
      </c>
      <c r="I163" s="38" t="str">
        <f t="shared" si="8"/>
        <v>NO OT</v>
      </c>
    </row>
    <row r="164" spans="1:9" s="54" customFormat="1" x14ac:dyDescent="0.2">
      <c r="A164" s="35" t="s">
        <v>110</v>
      </c>
      <c r="B164" s="36">
        <v>46150</v>
      </c>
      <c r="C164" s="53" t="s">
        <v>461</v>
      </c>
      <c r="D164" s="52" t="s">
        <v>12</v>
      </c>
      <c r="E164" s="52" t="s">
        <v>12</v>
      </c>
      <c r="F164" s="52" t="s">
        <v>12</v>
      </c>
      <c r="G164" s="55" t="str">
        <f t="shared" si="9"/>
        <v>ABSENT</v>
      </c>
      <c r="H164" s="37">
        <f t="shared" si="10"/>
        <v>-4.1666666666666664E-2</v>
      </c>
      <c r="I164" s="38" t="str">
        <f t="shared" si="8"/>
        <v>NO OT</v>
      </c>
    </row>
    <row r="165" spans="1:9" s="54" customFormat="1" x14ac:dyDescent="0.2">
      <c r="A165" s="35" t="s">
        <v>110</v>
      </c>
      <c r="B165" s="36">
        <v>46151</v>
      </c>
      <c r="C165" s="53" t="s">
        <v>463</v>
      </c>
      <c r="D165" s="52" t="s">
        <v>12</v>
      </c>
      <c r="E165" s="52" t="s">
        <v>12</v>
      </c>
      <c r="F165" s="52" t="s">
        <v>12</v>
      </c>
      <c r="G165" s="55" t="str">
        <f t="shared" si="9"/>
        <v>ABSENT</v>
      </c>
      <c r="H165" s="37">
        <f t="shared" si="10"/>
        <v>-4.1666666666666664E-2</v>
      </c>
      <c r="I165" s="38" t="str">
        <f t="shared" si="8"/>
        <v>NO OT</v>
      </c>
    </row>
    <row r="166" spans="1:9" s="54" customFormat="1" x14ac:dyDescent="0.2">
      <c r="A166" s="35" t="s">
        <v>110</v>
      </c>
      <c r="B166" s="36">
        <v>46152</v>
      </c>
      <c r="C166" s="55" t="s">
        <v>456</v>
      </c>
      <c r="D166" s="52"/>
      <c r="E166" s="52"/>
      <c r="F166" s="52"/>
      <c r="G166" s="55" t="str">
        <f t="shared" si="9"/>
        <v>SUNDAY</v>
      </c>
      <c r="H166" s="37">
        <f t="shared" si="10"/>
        <v>0</v>
      </c>
      <c r="I166" s="38" t="str">
        <f t="shared" si="8"/>
        <v>NO OT</v>
      </c>
    </row>
    <row r="167" spans="1:9" s="54" customFormat="1" x14ac:dyDescent="0.2">
      <c r="A167" s="35" t="s">
        <v>110</v>
      </c>
      <c r="B167" s="36">
        <v>46153</v>
      </c>
      <c r="C167" s="53" t="s">
        <v>457</v>
      </c>
      <c r="D167" s="52" t="s">
        <v>27</v>
      </c>
      <c r="E167" s="52" t="s">
        <v>397</v>
      </c>
      <c r="F167" s="52" t="s">
        <v>271</v>
      </c>
      <c r="G167" s="35" t="str">
        <f t="shared" si="9"/>
        <v>LATE</v>
      </c>
      <c r="H167" s="37">
        <f t="shared" si="10"/>
        <v>0.3208333333333333</v>
      </c>
      <c r="I167" s="38" t="str">
        <f t="shared" si="8"/>
        <v>NO OT</v>
      </c>
    </row>
    <row r="168" spans="1:9" s="54" customFormat="1" x14ac:dyDescent="0.2">
      <c r="A168" s="35" t="s">
        <v>110</v>
      </c>
      <c r="B168" s="36">
        <v>46154</v>
      </c>
      <c r="C168" s="53" t="s">
        <v>458</v>
      </c>
      <c r="D168" s="52" t="s">
        <v>285</v>
      </c>
      <c r="E168" s="52" t="s">
        <v>220</v>
      </c>
      <c r="F168" s="52" t="s">
        <v>372</v>
      </c>
      <c r="G168" s="35" t="str">
        <f t="shared" si="9"/>
        <v>LATE</v>
      </c>
      <c r="H168" s="37">
        <f t="shared" si="10"/>
        <v>0.32708333333333328</v>
      </c>
      <c r="I168" s="38" t="str">
        <f t="shared" si="8"/>
        <v>NO OT</v>
      </c>
    </row>
    <row r="169" spans="1:9" s="54" customFormat="1" x14ac:dyDescent="0.2">
      <c r="A169" s="35" t="s">
        <v>110</v>
      </c>
      <c r="B169" s="36">
        <v>46155</v>
      </c>
      <c r="C169" s="53" t="s">
        <v>459</v>
      </c>
      <c r="D169" s="52" t="s">
        <v>220</v>
      </c>
      <c r="E169" s="52" t="s">
        <v>12</v>
      </c>
      <c r="F169" s="52" t="s">
        <v>188</v>
      </c>
      <c r="G169" s="35" t="str">
        <f t="shared" si="9"/>
        <v>LATE</v>
      </c>
      <c r="H169" s="37">
        <f t="shared" si="10"/>
        <v>-0.81736111111111109</v>
      </c>
      <c r="I169" s="38" t="str">
        <f t="shared" si="8"/>
        <v>NO OT</v>
      </c>
    </row>
    <row r="170" spans="1:9" s="54" customFormat="1" x14ac:dyDescent="0.2">
      <c r="A170" s="35" t="s">
        <v>110</v>
      </c>
      <c r="B170" s="36">
        <v>46156</v>
      </c>
      <c r="C170" s="53" t="s">
        <v>460</v>
      </c>
      <c r="D170" s="52" t="s">
        <v>136</v>
      </c>
      <c r="E170" s="52" t="s">
        <v>376</v>
      </c>
      <c r="F170" s="52" t="s">
        <v>498</v>
      </c>
      <c r="G170" s="35" t="str">
        <f t="shared" si="9"/>
        <v>LATE</v>
      </c>
      <c r="H170" s="37">
        <f t="shared" si="10"/>
        <v>0.30347222222222214</v>
      </c>
      <c r="I170" s="38" t="str">
        <f t="shared" si="8"/>
        <v>NO OT</v>
      </c>
    </row>
    <row r="171" spans="1:9" s="54" customFormat="1" x14ac:dyDescent="0.2">
      <c r="A171" s="35" t="s">
        <v>110</v>
      </c>
      <c r="B171" s="36">
        <v>46157</v>
      </c>
      <c r="C171" s="53" t="s">
        <v>461</v>
      </c>
      <c r="D171" s="52" t="s">
        <v>101</v>
      </c>
      <c r="E171" s="52" t="s">
        <v>212</v>
      </c>
      <c r="F171" s="52" t="s">
        <v>616</v>
      </c>
      <c r="G171" s="35" t="str">
        <f t="shared" si="9"/>
        <v>LATE</v>
      </c>
      <c r="H171" s="37">
        <f t="shared" si="10"/>
        <v>0.3076388888888888</v>
      </c>
      <c r="I171" s="38" t="str">
        <f t="shared" si="8"/>
        <v>NO OT</v>
      </c>
    </row>
    <row r="172" spans="1:9" s="54" customFormat="1" x14ac:dyDescent="0.2">
      <c r="A172" s="35" t="s">
        <v>110</v>
      </c>
      <c r="B172" s="36">
        <v>46158</v>
      </c>
      <c r="C172" s="53" t="s">
        <v>463</v>
      </c>
      <c r="D172" s="52" t="s">
        <v>187</v>
      </c>
      <c r="E172" s="52" t="s">
        <v>203</v>
      </c>
      <c r="F172" s="52" t="s">
        <v>293</v>
      </c>
      <c r="G172" s="35" t="str">
        <f t="shared" si="9"/>
        <v>LATE</v>
      </c>
      <c r="H172" s="37">
        <f t="shared" si="10"/>
        <v>0.3125</v>
      </c>
      <c r="I172" s="38" t="str">
        <f t="shared" si="8"/>
        <v>NO OT</v>
      </c>
    </row>
    <row r="173" spans="1:9" s="54" customFormat="1" x14ac:dyDescent="0.2">
      <c r="A173" s="35" t="s">
        <v>110</v>
      </c>
      <c r="B173" s="36">
        <v>46159</v>
      </c>
      <c r="C173" s="55" t="s">
        <v>456</v>
      </c>
      <c r="D173" s="52"/>
      <c r="E173" s="52"/>
      <c r="F173" s="52"/>
      <c r="G173" s="55" t="str">
        <f t="shared" si="9"/>
        <v>SUNDAY</v>
      </c>
      <c r="H173" s="37">
        <f t="shared" si="10"/>
        <v>0</v>
      </c>
      <c r="I173" s="38" t="str">
        <f t="shared" si="8"/>
        <v>NO OT</v>
      </c>
    </row>
    <row r="174" spans="1:9" s="54" customFormat="1" x14ac:dyDescent="0.2">
      <c r="A174" s="35" t="s">
        <v>110</v>
      </c>
      <c r="B174" s="36">
        <v>46160</v>
      </c>
      <c r="C174" s="53" t="s">
        <v>457</v>
      </c>
      <c r="D174" s="52" t="s">
        <v>322</v>
      </c>
      <c r="E174" s="52" t="s">
        <v>203</v>
      </c>
      <c r="F174" s="52" t="s">
        <v>218</v>
      </c>
      <c r="G174" s="35" t="str">
        <f t="shared" si="9"/>
        <v>LATE</v>
      </c>
      <c r="H174" s="37">
        <f t="shared" si="10"/>
        <v>0.32430555555555551</v>
      </c>
      <c r="I174" s="38" t="str">
        <f t="shared" si="8"/>
        <v>NO OT</v>
      </c>
    </row>
    <row r="175" spans="1:9" s="54" customFormat="1" x14ac:dyDescent="0.2">
      <c r="A175" s="35" t="s">
        <v>110</v>
      </c>
      <c r="B175" s="36">
        <v>46161</v>
      </c>
      <c r="C175" s="53" t="s">
        <v>458</v>
      </c>
      <c r="D175" s="52" t="s">
        <v>168</v>
      </c>
      <c r="E175" s="52" t="s">
        <v>251</v>
      </c>
      <c r="F175" s="52" t="s">
        <v>271</v>
      </c>
      <c r="G175" s="35" t="str">
        <f t="shared" si="9"/>
        <v>LATE</v>
      </c>
      <c r="H175" s="37">
        <f t="shared" si="10"/>
        <v>0.32083333333333341</v>
      </c>
      <c r="I175" s="38" t="str">
        <f t="shared" si="8"/>
        <v>NO OT</v>
      </c>
    </row>
    <row r="176" spans="1:9" s="54" customFormat="1" x14ac:dyDescent="0.2">
      <c r="A176" s="35" t="s">
        <v>110</v>
      </c>
      <c r="B176" s="36">
        <v>46162</v>
      </c>
      <c r="C176" s="53" t="s">
        <v>459</v>
      </c>
      <c r="D176" s="52" t="s">
        <v>168</v>
      </c>
      <c r="E176" s="52" t="s">
        <v>353</v>
      </c>
      <c r="F176" s="52" t="s">
        <v>208</v>
      </c>
      <c r="G176" s="35" t="str">
        <f t="shared" si="9"/>
        <v>LATE</v>
      </c>
      <c r="H176" s="37">
        <f t="shared" si="10"/>
        <v>0.32152777777777775</v>
      </c>
      <c r="I176" s="38" t="str">
        <f t="shared" si="8"/>
        <v>NO OT</v>
      </c>
    </row>
    <row r="177" spans="1:9" s="54" customFormat="1" x14ac:dyDescent="0.2">
      <c r="A177" s="35" t="s">
        <v>110</v>
      </c>
      <c r="B177" s="36">
        <v>46163</v>
      </c>
      <c r="C177" s="53" t="s">
        <v>460</v>
      </c>
      <c r="D177" s="52" t="s">
        <v>12</v>
      </c>
      <c r="E177" s="52" t="s">
        <v>12</v>
      </c>
      <c r="F177" s="52" t="s">
        <v>12</v>
      </c>
      <c r="G177" s="55" t="str">
        <f t="shared" si="9"/>
        <v>ABSENT</v>
      </c>
      <c r="H177" s="37">
        <f t="shared" si="10"/>
        <v>-4.1666666666666664E-2</v>
      </c>
      <c r="I177" s="38" t="str">
        <f t="shared" si="8"/>
        <v>NO OT</v>
      </c>
    </row>
    <row r="178" spans="1:9" s="54" customFormat="1" x14ac:dyDescent="0.2">
      <c r="A178" s="35" t="s">
        <v>110</v>
      </c>
      <c r="B178" s="36">
        <v>46164</v>
      </c>
      <c r="C178" s="53" t="s">
        <v>461</v>
      </c>
      <c r="D178" s="52" t="s">
        <v>229</v>
      </c>
      <c r="E178" s="52" t="s">
        <v>346</v>
      </c>
      <c r="F178" s="52" t="s">
        <v>347</v>
      </c>
      <c r="G178" s="35" t="str">
        <f t="shared" si="9"/>
        <v>LATE</v>
      </c>
      <c r="H178" s="37">
        <f t="shared" si="10"/>
        <v>0.32777777777777772</v>
      </c>
      <c r="I178" s="38" t="str">
        <f t="shared" si="8"/>
        <v>NO OT</v>
      </c>
    </row>
    <row r="179" spans="1:9" s="54" customFormat="1" x14ac:dyDescent="0.2">
      <c r="A179" s="35" t="s">
        <v>110</v>
      </c>
      <c r="B179" s="36">
        <v>46165</v>
      </c>
      <c r="C179" s="53" t="s">
        <v>463</v>
      </c>
      <c r="D179" s="52" t="s">
        <v>169</v>
      </c>
      <c r="E179" s="52" t="s">
        <v>336</v>
      </c>
      <c r="F179" s="52" t="s">
        <v>503</v>
      </c>
      <c r="G179" s="35" t="str">
        <f t="shared" si="9"/>
        <v>LATE</v>
      </c>
      <c r="H179" s="37">
        <f t="shared" si="10"/>
        <v>0.29236111111111107</v>
      </c>
      <c r="I179" s="38" t="str">
        <f t="shared" si="8"/>
        <v>NO OT</v>
      </c>
    </row>
    <row r="180" spans="1:9" s="54" customFormat="1" x14ac:dyDescent="0.2">
      <c r="A180" s="35" t="s">
        <v>110</v>
      </c>
      <c r="B180" s="36">
        <v>46166</v>
      </c>
      <c r="C180" s="55" t="s">
        <v>456</v>
      </c>
      <c r="D180" s="52"/>
      <c r="E180" s="52"/>
      <c r="F180" s="52"/>
      <c r="G180" s="55" t="str">
        <f t="shared" si="9"/>
        <v>SUNDAY</v>
      </c>
      <c r="H180" s="37">
        <f t="shared" si="10"/>
        <v>0</v>
      </c>
      <c r="I180" s="38" t="str">
        <f t="shared" si="8"/>
        <v>NO OT</v>
      </c>
    </row>
    <row r="181" spans="1:9" s="54" customFormat="1" x14ac:dyDescent="0.2">
      <c r="A181" s="35" t="s">
        <v>110</v>
      </c>
      <c r="B181" s="36">
        <v>46167</v>
      </c>
      <c r="C181" s="53" t="s">
        <v>457</v>
      </c>
      <c r="D181" s="52" t="s">
        <v>183</v>
      </c>
      <c r="E181" s="52" t="s">
        <v>254</v>
      </c>
      <c r="F181" s="52" t="s">
        <v>451</v>
      </c>
      <c r="G181" s="35" t="str">
        <f t="shared" si="9"/>
        <v>LATE</v>
      </c>
      <c r="H181" s="37">
        <f t="shared" si="10"/>
        <v>0.30416666666666664</v>
      </c>
      <c r="I181" s="38" t="str">
        <f t="shared" si="8"/>
        <v>NO OT</v>
      </c>
    </row>
    <row r="182" spans="1:9" s="54" customFormat="1" x14ac:dyDescent="0.2">
      <c r="A182" s="35" t="s">
        <v>110</v>
      </c>
      <c r="B182" s="36">
        <v>46168</v>
      </c>
      <c r="C182" s="53" t="s">
        <v>458</v>
      </c>
      <c r="D182" s="52" t="s">
        <v>12</v>
      </c>
      <c r="E182" s="52" t="s">
        <v>12</v>
      </c>
      <c r="F182" s="52" t="s">
        <v>12</v>
      </c>
      <c r="G182" s="55" t="str">
        <f t="shared" si="9"/>
        <v>ABSENT</v>
      </c>
      <c r="H182" s="37">
        <f t="shared" si="10"/>
        <v>-4.1666666666666664E-2</v>
      </c>
      <c r="I182" s="38" t="str">
        <f t="shared" si="8"/>
        <v>NO OT</v>
      </c>
    </row>
    <row r="183" spans="1:9" s="54" customFormat="1" x14ac:dyDescent="0.2">
      <c r="A183" s="35" t="s">
        <v>110</v>
      </c>
      <c r="B183" s="36">
        <v>46169</v>
      </c>
      <c r="C183" s="53" t="s">
        <v>459</v>
      </c>
      <c r="D183" s="52" t="s">
        <v>206</v>
      </c>
      <c r="E183" s="52" t="s">
        <v>684</v>
      </c>
      <c r="F183" s="52" t="s">
        <v>573</v>
      </c>
      <c r="G183" s="35" t="str">
        <f t="shared" si="9"/>
        <v>OK</v>
      </c>
      <c r="H183" s="37">
        <f t="shared" si="10"/>
        <v>0.36111111111111116</v>
      </c>
      <c r="I183" s="48" t="str">
        <f t="shared" si="8"/>
        <v>00:22</v>
      </c>
    </row>
    <row r="184" spans="1:9" s="54" customFormat="1" x14ac:dyDescent="0.2">
      <c r="A184" s="35" t="s">
        <v>110</v>
      </c>
      <c r="B184" s="36">
        <v>46170</v>
      </c>
      <c r="C184" s="53" t="s">
        <v>460</v>
      </c>
      <c r="D184" s="52"/>
      <c r="E184" s="52"/>
      <c r="F184" s="52"/>
      <c r="G184" s="55" t="s">
        <v>721</v>
      </c>
      <c r="H184" s="37">
        <f t="shared" si="10"/>
        <v>0</v>
      </c>
      <c r="I184" s="38" t="str">
        <f t="shared" si="8"/>
        <v>NO OT</v>
      </c>
    </row>
    <row r="185" spans="1:9" s="54" customFormat="1" x14ac:dyDescent="0.2">
      <c r="A185" s="35" t="s">
        <v>110</v>
      </c>
      <c r="B185" s="36">
        <v>46171</v>
      </c>
      <c r="C185" s="53" t="s">
        <v>461</v>
      </c>
      <c r="D185" s="52"/>
      <c r="E185" s="52"/>
      <c r="F185" s="52"/>
      <c r="G185" s="55" t="s">
        <v>721</v>
      </c>
      <c r="H185" s="37">
        <f t="shared" si="10"/>
        <v>0</v>
      </c>
      <c r="I185" s="38" t="str">
        <f t="shared" si="8"/>
        <v>NO OT</v>
      </c>
    </row>
    <row r="186" spans="1:9" s="54" customFormat="1" x14ac:dyDescent="0.2">
      <c r="A186" s="35" t="s">
        <v>110</v>
      </c>
      <c r="B186" s="36">
        <v>46172</v>
      </c>
      <c r="C186" s="53" t="s">
        <v>463</v>
      </c>
      <c r="D186" s="52"/>
      <c r="E186" s="52"/>
      <c r="F186" s="52"/>
      <c r="G186" s="55" t="s">
        <v>721</v>
      </c>
      <c r="H186" s="37">
        <f t="shared" si="10"/>
        <v>0</v>
      </c>
      <c r="I186" s="38" t="str">
        <f t="shared" si="8"/>
        <v>NO OT</v>
      </c>
    </row>
    <row r="187" spans="1:9" s="54" customFormat="1" x14ac:dyDescent="0.2">
      <c r="A187" s="35" t="s">
        <v>110</v>
      </c>
      <c r="B187" s="36">
        <v>46173</v>
      </c>
      <c r="C187" s="55" t="s">
        <v>456</v>
      </c>
      <c r="D187" s="52"/>
      <c r="E187" s="52"/>
      <c r="F187" s="52"/>
      <c r="G187" s="55" t="str">
        <f t="shared" si="9"/>
        <v>SUNDAY</v>
      </c>
      <c r="H187" s="37">
        <f t="shared" si="10"/>
        <v>0</v>
      </c>
      <c r="I187" s="38" t="str">
        <f t="shared" si="8"/>
        <v>NO OT</v>
      </c>
    </row>
    <row r="188" spans="1:9" s="54" customFormat="1" hidden="1" x14ac:dyDescent="0.2">
      <c r="A188" s="35" t="s">
        <v>111</v>
      </c>
      <c r="B188" s="36">
        <v>46143</v>
      </c>
      <c r="C188" s="53" t="s">
        <v>461</v>
      </c>
      <c r="D188" s="52" t="s">
        <v>177</v>
      </c>
      <c r="E188" s="52" t="s">
        <v>217</v>
      </c>
      <c r="F188" s="52" t="s">
        <v>391</v>
      </c>
      <c r="G188" s="35" t="str">
        <f t="shared" si="9"/>
        <v>LATE</v>
      </c>
      <c r="H188" s="37">
        <f t="shared" si="10"/>
        <v>0.28680555555555554</v>
      </c>
      <c r="I188" s="38" t="str">
        <f t="shared" si="8"/>
        <v>NO OT</v>
      </c>
    </row>
    <row r="189" spans="1:9" s="54" customFormat="1" hidden="1" x14ac:dyDescent="0.2">
      <c r="A189" s="35" t="s">
        <v>111</v>
      </c>
      <c r="B189" s="36">
        <v>46144</v>
      </c>
      <c r="C189" s="53" t="s">
        <v>463</v>
      </c>
      <c r="D189" s="52" t="s">
        <v>691</v>
      </c>
      <c r="E189" s="52" t="s">
        <v>209</v>
      </c>
      <c r="F189" s="52" t="s">
        <v>692</v>
      </c>
      <c r="G189" s="35" t="str">
        <f t="shared" si="9"/>
        <v>LATE</v>
      </c>
      <c r="H189" s="37">
        <f t="shared" si="10"/>
        <v>0.29027777777777775</v>
      </c>
      <c r="I189" s="38" t="str">
        <f t="shared" si="8"/>
        <v>NO OT</v>
      </c>
    </row>
    <row r="190" spans="1:9" s="54" customFormat="1" hidden="1" x14ac:dyDescent="0.2">
      <c r="A190" s="35" t="s">
        <v>111</v>
      </c>
      <c r="B190" s="36">
        <v>46145</v>
      </c>
      <c r="C190" s="55" t="s">
        <v>456</v>
      </c>
      <c r="D190" s="52"/>
      <c r="E190" s="52"/>
      <c r="F190" s="52"/>
      <c r="G190" s="55" t="str">
        <f t="shared" si="9"/>
        <v>SUNDAY</v>
      </c>
      <c r="H190" s="37">
        <f t="shared" si="10"/>
        <v>0</v>
      </c>
      <c r="I190" s="38" t="str">
        <f t="shared" si="8"/>
        <v>NO OT</v>
      </c>
    </row>
    <row r="191" spans="1:9" s="54" customFormat="1" hidden="1" x14ac:dyDescent="0.2">
      <c r="A191" s="35" t="s">
        <v>111</v>
      </c>
      <c r="B191" s="36">
        <v>46146</v>
      </c>
      <c r="C191" s="53" t="s">
        <v>457</v>
      </c>
      <c r="D191" s="52" t="s">
        <v>183</v>
      </c>
      <c r="E191" s="52" t="s">
        <v>259</v>
      </c>
      <c r="F191" s="52" t="s">
        <v>526</v>
      </c>
      <c r="G191" s="35" t="str">
        <f t="shared" si="9"/>
        <v>LATE</v>
      </c>
      <c r="H191" s="37">
        <f t="shared" si="10"/>
        <v>0.30208333333333331</v>
      </c>
      <c r="I191" s="38" t="str">
        <f t="shared" si="8"/>
        <v>NO OT</v>
      </c>
    </row>
    <row r="192" spans="1:9" s="54" customFormat="1" hidden="1" x14ac:dyDescent="0.2">
      <c r="A192" s="35" t="s">
        <v>111</v>
      </c>
      <c r="B192" s="36">
        <v>46147</v>
      </c>
      <c r="C192" s="53" t="s">
        <v>458</v>
      </c>
      <c r="D192" s="52" t="s">
        <v>627</v>
      </c>
      <c r="E192" s="52" t="s">
        <v>259</v>
      </c>
      <c r="F192" s="52" t="s">
        <v>470</v>
      </c>
      <c r="G192" s="35" t="str">
        <f t="shared" si="9"/>
        <v>LATE</v>
      </c>
      <c r="H192" s="37">
        <f t="shared" si="10"/>
        <v>0.27569444444444446</v>
      </c>
      <c r="I192" s="38" t="str">
        <f t="shared" si="8"/>
        <v>NO OT</v>
      </c>
    </row>
    <row r="193" spans="1:9" s="54" customFormat="1" hidden="1" x14ac:dyDescent="0.2">
      <c r="A193" s="35" t="s">
        <v>111</v>
      </c>
      <c r="B193" s="36">
        <v>46148</v>
      </c>
      <c r="C193" s="53" t="s">
        <v>459</v>
      </c>
      <c r="D193" s="52" t="s">
        <v>693</v>
      </c>
      <c r="E193" s="52" t="s">
        <v>212</v>
      </c>
      <c r="F193" s="52" t="s">
        <v>395</v>
      </c>
      <c r="G193" s="35" t="str">
        <f t="shared" si="9"/>
        <v>LATE</v>
      </c>
      <c r="H193" s="37">
        <f t="shared" si="10"/>
        <v>0.28124999999999989</v>
      </c>
      <c r="I193" s="38" t="str">
        <f t="shared" si="8"/>
        <v>NO OT</v>
      </c>
    </row>
    <row r="194" spans="1:9" s="54" customFormat="1" hidden="1" x14ac:dyDescent="0.2">
      <c r="A194" s="35" t="s">
        <v>111</v>
      </c>
      <c r="B194" s="36">
        <v>46149</v>
      </c>
      <c r="C194" s="53" t="s">
        <v>460</v>
      </c>
      <c r="D194" s="52" t="s">
        <v>171</v>
      </c>
      <c r="E194" s="52" t="s">
        <v>12</v>
      </c>
      <c r="F194" s="52" t="s">
        <v>188</v>
      </c>
      <c r="G194" s="35" t="str">
        <f t="shared" si="9"/>
        <v>LATE</v>
      </c>
      <c r="H194" s="37">
        <f t="shared" si="10"/>
        <v>-0.48819444444444449</v>
      </c>
      <c r="I194" s="38" t="str">
        <f t="shared" si="8"/>
        <v>NO OT</v>
      </c>
    </row>
    <row r="195" spans="1:9" s="54" customFormat="1" hidden="1" x14ac:dyDescent="0.2">
      <c r="A195" s="35" t="s">
        <v>111</v>
      </c>
      <c r="B195" s="36">
        <v>46150</v>
      </c>
      <c r="C195" s="53" t="s">
        <v>461</v>
      </c>
      <c r="D195" s="52" t="s">
        <v>694</v>
      </c>
      <c r="E195" s="52" t="s">
        <v>586</v>
      </c>
      <c r="F195" s="52" t="s">
        <v>695</v>
      </c>
      <c r="G195" s="35" t="str">
        <f t="shared" si="9"/>
        <v>LATE</v>
      </c>
      <c r="H195" s="37">
        <f t="shared" si="10"/>
        <v>0.1888888888888888</v>
      </c>
      <c r="I195" s="38" t="str">
        <f t="shared" si="8"/>
        <v>NO OT</v>
      </c>
    </row>
    <row r="196" spans="1:9" s="54" customFormat="1" hidden="1" x14ac:dyDescent="0.2">
      <c r="A196" s="35" t="s">
        <v>111</v>
      </c>
      <c r="B196" s="36">
        <v>46151</v>
      </c>
      <c r="C196" s="53" t="s">
        <v>463</v>
      </c>
      <c r="D196" s="52" t="s">
        <v>12</v>
      </c>
      <c r="E196" s="52" t="s">
        <v>12</v>
      </c>
      <c r="F196" s="52" t="s">
        <v>12</v>
      </c>
      <c r="G196" s="55" t="str">
        <f t="shared" si="9"/>
        <v>ABSENT</v>
      </c>
      <c r="H196" s="37">
        <f t="shared" si="10"/>
        <v>-4.1666666666666664E-2</v>
      </c>
      <c r="I196" s="38" t="str">
        <f t="shared" ref="I196:I259" si="11">IF(VALUE(E196) &gt; TIME(19,0,0), TEXT(VALUE(E196) - TIME(19,0,0), "hh:mm"), "NO OT")</f>
        <v>NO OT</v>
      </c>
    </row>
    <row r="197" spans="1:9" s="54" customFormat="1" hidden="1" x14ac:dyDescent="0.2">
      <c r="A197" s="35" t="s">
        <v>111</v>
      </c>
      <c r="B197" s="36">
        <v>46152</v>
      </c>
      <c r="C197" s="55" t="s">
        <v>456</v>
      </c>
      <c r="D197" s="52"/>
      <c r="E197" s="52"/>
      <c r="F197" s="52"/>
      <c r="G197" s="55" t="str">
        <f t="shared" si="9"/>
        <v>SUNDAY</v>
      </c>
      <c r="H197" s="37">
        <f t="shared" si="10"/>
        <v>0</v>
      </c>
      <c r="I197" s="38" t="str">
        <f t="shared" si="11"/>
        <v>NO OT</v>
      </c>
    </row>
    <row r="198" spans="1:9" s="54" customFormat="1" hidden="1" x14ac:dyDescent="0.2">
      <c r="A198" s="35" t="s">
        <v>111</v>
      </c>
      <c r="B198" s="36">
        <v>46153</v>
      </c>
      <c r="C198" s="53" t="s">
        <v>457</v>
      </c>
      <c r="D198" s="52" t="s">
        <v>696</v>
      </c>
      <c r="E198" s="52" t="s">
        <v>12</v>
      </c>
      <c r="F198" s="52" t="s">
        <v>188</v>
      </c>
      <c r="G198" s="35" t="str">
        <f t="shared" si="9"/>
        <v>LATE</v>
      </c>
      <c r="H198" s="37">
        <f t="shared" si="10"/>
        <v>-0.64027777777777772</v>
      </c>
      <c r="I198" s="38" t="str">
        <f t="shared" si="11"/>
        <v>NO OT</v>
      </c>
    </row>
    <row r="199" spans="1:9" s="54" customFormat="1" hidden="1" x14ac:dyDescent="0.2">
      <c r="A199" s="35" t="s">
        <v>111</v>
      </c>
      <c r="B199" s="36">
        <v>46154</v>
      </c>
      <c r="C199" s="53" t="s">
        <v>458</v>
      </c>
      <c r="D199" s="52" t="s">
        <v>697</v>
      </c>
      <c r="E199" s="52" t="s">
        <v>311</v>
      </c>
      <c r="F199" s="52" t="s">
        <v>698</v>
      </c>
      <c r="G199" s="35" t="str">
        <f t="shared" si="9"/>
        <v>LATE</v>
      </c>
      <c r="H199" s="37">
        <f t="shared" si="10"/>
        <v>0.18124999999999999</v>
      </c>
      <c r="I199" s="38" t="str">
        <f t="shared" si="11"/>
        <v>NO OT</v>
      </c>
    </row>
    <row r="200" spans="1:9" s="54" customFormat="1" hidden="1" x14ac:dyDescent="0.2">
      <c r="A200" s="35" t="s">
        <v>111</v>
      </c>
      <c r="B200" s="36">
        <v>46155</v>
      </c>
      <c r="C200" s="53" t="s">
        <v>459</v>
      </c>
      <c r="D200" s="52" t="s">
        <v>699</v>
      </c>
      <c r="E200" s="52" t="s">
        <v>333</v>
      </c>
      <c r="F200" s="52" t="s">
        <v>399</v>
      </c>
      <c r="G200" s="35" t="str">
        <f t="shared" si="9"/>
        <v>LATE</v>
      </c>
      <c r="H200" s="37">
        <f t="shared" si="10"/>
        <v>0.2506944444444445</v>
      </c>
      <c r="I200" s="38" t="str">
        <f t="shared" si="11"/>
        <v>NO OT</v>
      </c>
    </row>
    <row r="201" spans="1:9" s="54" customFormat="1" hidden="1" x14ac:dyDescent="0.2">
      <c r="A201" s="35" t="s">
        <v>111</v>
      </c>
      <c r="B201" s="36">
        <v>46156</v>
      </c>
      <c r="C201" s="53" t="s">
        <v>460</v>
      </c>
      <c r="D201" s="52" t="s">
        <v>162</v>
      </c>
      <c r="E201" s="52" t="s">
        <v>353</v>
      </c>
      <c r="F201" s="52" t="s">
        <v>433</v>
      </c>
      <c r="G201" s="35" t="str">
        <f t="shared" si="9"/>
        <v>LATE</v>
      </c>
      <c r="H201" s="37">
        <f t="shared" si="10"/>
        <v>0.27013888888888887</v>
      </c>
      <c r="I201" s="38" t="str">
        <f t="shared" si="11"/>
        <v>NO OT</v>
      </c>
    </row>
    <row r="202" spans="1:9" s="54" customFormat="1" hidden="1" x14ac:dyDescent="0.2">
      <c r="A202" s="35" t="s">
        <v>111</v>
      </c>
      <c r="B202" s="36">
        <v>46157</v>
      </c>
      <c r="C202" s="53" t="s">
        <v>461</v>
      </c>
      <c r="D202" s="52" t="s">
        <v>346</v>
      </c>
      <c r="E202" s="52" t="s">
        <v>12</v>
      </c>
      <c r="F202" s="52" t="s">
        <v>188</v>
      </c>
      <c r="G202" s="35" t="str">
        <f t="shared" si="9"/>
        <v>LATE</v>
      </c>
      <c r="H202" s="37">
        <f t="shared" si="10"/>
        <v>-0.8208333333333333</v>
      </c>
      <c r="I202" s="38" t="str">
        <f t="shared" si="11"/>
        <v>NO OT</v>
      </c>
    </row>
    <row r="203" spans="1:9" s="54" customFormat="1" hidden="1" x14ac:dyDescent="0.2">
      <c r="A203" s="35" t="s">
        <v>111</v>
      </c>
      <c r="B203" s="36">
        <v>46158</v>
      </c>
      <c r="C203" s="53" t="s">
        <v>463</v>
      </c>
      <c r="D203" s="52" t="s">
        <v>693</v>
      </c>
      <c r="E203" s="52" t="s">
        <v>223</v>
      </c>
      <c r="F203" s="52" t="s">
        <v>228</v>
      </c>
      <c r="G203" s="35" t="str">
        <f t="shared" si="9"/>
        <v>LATE</v>
      </c>
      <c r="H203" s="37">
        <f t="shared" si="10"/>
        <v>0.28402777777777766</v>
      </c>
      <c r="I203" s="38" t="str">
        <f t="shared" si="11"/>
        <v>NO OT</v>
      </c>
    </row>
    <row r="204" spans="1:9" s="54" customFormat="1" hidden="1" x14ac:dyDescent="0.2">
      <c r="A204" s="35" t="s">
        <v>111</v>
      </c>
      <c r="B204" s="36">
        <v>46159</v>
      </c>
      <c r="C204" s="55" t="s">
        <v>456</v>
      </c>
      <c r="D204" s="52"/>
      <c r="E204" s="52"/>
      <c r="F204" s="52"/>
      <c r="G204" s="55" t="str">
        <f t="shared" si="9"/>
        <v>SUNDAY</v>
      </c>
      <c r="H204" s="37">
        <f t="shared" si="10"/>
        <v>0</v>
      </c>
      <c r="I204" s="38" t="str">
        <f t="shared" si="11"/>
        <v>NO OT</v>
      </c>
    </row>
    <row r="205" spans="1:9" s="54" customFormat="1" hidden="1" x14ac:dyDescent="0.2">
      <c r="A205" s="35" t="s">
        <v>111</v>
      </c>
      <c r="B205" s="36">
        <v>46160</v>
      </c>
      <c r="C205" s="53" t="s">
        <v>457</v>
      </c>
      <c r="D205" s="52" t="s">
        <v>12</v>
      </c>
      <c r="E205" s="52" t="s">
        <v>12</v>
      </c>
      <c r="F205" s="52" t="s">
        <v>12</v>
      </c>
      <c r="G205" s="55" t="str">
        <f t="shared" si="9"/>
        <v>ABSENT</v>
      </c>
      <c r="H205" s="37">
        <f t="shared" si="10"/>
        <v>-4.1666666666666664E-2</v>
      </c>
      <c r="I205" s="38" t="str">
        <f t="shared" si="11"/>
        <v>NO OT</v>
      </c>
    </row>
    <row r="206" spans="1:9" s="54" customFormat="1" hidden="1" x14ac:dyDescent="0.2">
      <c r="A206" s="35" t="s">
        <v>111</v>
      </c>
      <c r="B206" s="36">
        <v>46161</v>
      </c>
      <c r="C206" s="53" t="s">
        <v>458</v>
      </c>
      <c r="D206" s="52" t="s">
        <v>121</v>
      </c>
      <c r="E206" s="52" t="s">
        <v>397</v>
      </c>
      <c r="F206" s="52" t="s">
        <v>281</v>
      </c>
      <c r="G206" s="35" t="str">
        <f t="shared" si="9"/>
        <v>LATE</v>
      </c>
      <c r="H206" s="37">
        <f t="shared" si="10"/>
        <v>0.29305555555555551</v>
      </c>
      <c r="I206" s="38" t="str">
        <f t="shared" si="11"/>
        <v>NO OT</v>
      </c>
    </row>
    <row r="207" spans="1:9" s="54" customFormat="1" hidden="1" x14ac:dyDescent="0.2">
      <c r="A207" s="35" t="s">
        <v>111</v>
      </c>
      <c r="B207" s="36">
        <v>46162</v>
      </c>
      <c r="C207" s="53" t="s">
        <v>459</v>
      </c>
      <c r="D207" s="52" t="s">
        <v>700</v>
      </c>
      <c r="E207" s="52" t="s">
        <v>679</v>
      </c>
      <c r="F207" s="52" t="s">
        <v>481</v>
      </c>
      <c r="G207" s="35" t="str">
        <f t="shared" si="9"/>
        <v>LATE</v>
      </c>
      <c r="H207" s="37">
        <f t="shared" si="10"/>
        <v>0.26180555555555562</v>
      </c>
      <c r="I207" s="38" t="str">
        <f t="shared" si="11"/>
        <v>NO OT</v>
      </c>
    </row>
    <row r="208" spans="1:9" s="54" customFormat="1" hidden="1" x14ac:dyDescent="0.2">
      <c r="A208" s="35" t="s">
        <v>111</v>
      </c>
      <c r="B208" s="36">
        <v>46163</v>
      </c>
      <c r="C208" s="53" t="s">
        <v>460</v>
      </c>
      <c r="D208" s="52" t="s">
        <v>701</v>
      </c>
      <c r="E208" s="52" t="s">
        <v>249</v>
      </c>
      <c r="F208" s="52" t="s">
        <v>378</v>
      </c>
      <c r="G208" s="35" t="str">
        <f t="shared" si="9"/>
        <v>LATE</v>
      </c>
      <c r="H208" s="37">
        <f t="shared" si="10"/>
        <v>0.28333333333333333</v>
      </c>
      <c r="I208" s="38" t="str">
        <f t="shared" si="11"/>
        <v>NO OT</v>
      </c>
    </row>
    <row r="209" spans="1:9" s="54" customFormat="1" hidden="1" x14ac:dyDescent="0.2">
      <c r="A209" s="35" t="s">
        <v>111</v>
      </c>
      <c r="B209" s="36">
        <v>46164</v>
      </c>
      <c r="C209" s="53" t="s">
        <v>461</v>
      </c>
      <c r="D209" s="52" t="s">
        <v>122</v>
      </c>
      <c r="E209" s="52" t="s">
        <v>251</v>
      </c>
      <c r="F209" s="52" t="s">
        <v>341</v>
      </c>
      <c r="G209" s="35" t="str">
        <f t="shared" si="9"/>
        <v>LATE</v>
      </c>
      <c r="H209" s="37">
        <f t="shared" si="10"/>
        <v>0.29513888888888901</v>
      </c>
      <c r="I209" s="38" t="str">
        <f t="shared" si="11"/>
        <v>NO OT</v>
      </c>
    </row>
    <row r="210" spans="1:9" s="54" customFormat="1" hidden="1" x14ac:dyDescent="0.2">
      <c r="A210" s="35" t="s">
        <v>111</v>
      </c>
      <c r="B210" s="36">
        <v>46165</v>
      </c>
      <c r="C210" s="53" t="s">
        <v>463</v>
      </c>
      <c r="D210" s="52" t="s">
        <v>132</v>
      </c>
      <c r="E210" s="52" t="s">
        <v>190</v>
      </c>
      <c r="F210" s="52" t="s">
        <v>289</v>
      </c>
      <c r="G210" s="35" t="str">
        <f t="shared" si="9"/>
        <v>LATE</v>
      </c>
      <c r="H210" s="37">
        <f t="shared" si="10"/>
        <v>0.28888888888888892</v>
      </c>
      <c r="I210" s="38" t="str">
        <f t="shared" si="11"/>
        <v>NO OT</v>
      </c>
    </row>
    <row r="211" spans="1:9" s="54" customFormat="1" hidden="1" x14ac:dyDescent="0.2">
      <c r="A211" s="35" t="s">
        <v>111</v>
      </c>
      <c r="B211" s="36">
        <v>46166</v>
      </c>
      <c r="C211" s="55" t="s">
        <v>456</v>
      </c>
      <c r="D211" s="52"/>
      <c r="E211" s="52"/>
      <c r="F211" s="52"/>
      <c r="G211" s="55" t="str">
        <f t="shared" si="9"/>
        <v>SUNDAY</v>
      </c>
      <c r="H211" s="37">
        <f t="shared" si="10"/>
        <v>0</v>
      </c>
      <c r="I211" s="38" t="str">
        <f t="shared" si="11"/>
        <v>NO OT</v>
      </c>
    </row>
    <row r="212" spans="1:9" s="54" customFormat="1" hidden="1" x14ac:dyDescent="0.2">
      <c r="A212" s="35" t="s">
        <v>111</v>
      </c>
      <c r="B212" s="36">
        <v>46167</v>
      </c>
      <c r="C212" s="53" t="s">
        <v>457</v>
      </c>
      <c r="D212" s="52" t="s">
        <v>542</v>
      </c>
      <c r="E212" s="52" t="s">
        <v>193</v>
      </c>
      <c r="F212" s="52" t="s">
        <v>394</v>
      </c>
      <c r="G212" s="35" t="str">
        <f t="shared" si="9"/>
        <v>LATE</v>
      </c>
      <c r="H212" s="37">
        <f t="shared" si="10"/>
        <v>0.27638888888888891</v>
      </c>
      <c r="I212" s="38" t="str">
        <f t="shared" si="11"/>
        <v>NO OT</v>
      </c>
    </row>
    <row r="213" spans="1:9" s="54" customFormat="1" hidden="1" x14ac:dyDescent="0.2">
      <c r="A213" s="35" t="s">
        <v>111</v>
      </c>
      <c r="B213" s="36">
        <v>46168</v>
      </c>
      <c r="C213" s="53" t="s">
        <v>458</v>
      </c>
      <c r="D213" s="52" t="s">
        <v>702</v>
      </c>
      <c r="E213" s="52" t="s">
        <v>197</v>
      </c>
      <c r="F213" s="52" t="s">
        <v>469</v>
      </c>
      <c r="G213" s="35" t="str">
        <f t="shared" si="9"/>
        <v>LATE</v>
      </c>
      <c r="H213" s="37">
        <f t="shared" si="10"/>
        <v>0.28263888888888877</v>
      </c>
      <c r="I213" s="38" t="str">
        <f t="shared" si="11"/>
        <v>NO OT</v>
      </c>
    </row>
    <row r="214" spans="1:9" s="54" customFormat="1" hidden="1" x14ac:dyDescent="0.2">
      <c r="A214" s="35" t="s">
        <v>111</v>
      </c>
      <c r="B214" s="36">
        <v>46169</v>
      </c>
      <c r="C214" s="53" t="s">
        <v>459</v>
      </c>
      <c r="D214" s="52" t="s">
        <v>701</v>
      </c>
      <c r="E214" s="52" t="s">
        <v>684</v>
      </c>
      <c r="F214" s="52" t="s">
        <v>362</v>
      </c>
      <c r="G214" s="35" t="str">
        <f t="shared" si="9"/>
        <v>LATE</v>
      </c>
      <c r="H214" s="37">
        <f t="shared" si="10"/>
        <v>0.30833333333333335</v>
      </c>
      <c r="I214" s="48" t="str">
        <f t="shared" si="11"/>
        <v>00:22</v>
      </c>
    </row>
    <row r="215" spans="1:9" s="54" customFormat="1" hidden="1" x14ac:dyDescent="0.2">
      <c r="A215" s="35" t="s">
        <v>111</v>
      </c>
      <c r="B215" s="36">
        <v>46170</v>
      </c>
      <c r="C215" s="53" t="s">
        <v>460</v>
      </c>
      <c r="D215" s="52"/>
      <c r="E215" s="52"/>
      <c r="F215" s="52"/>
      <c r="G215" s="55" t="s">
        <v>721</v>
      </c>
      <c r="H215" s="37">
        <f t="shared" si="10"/>
        <v>0</v>
      </c>
      <c r="I215" s="38" t="str">
        <f t="shared" si="11"/>
        <v>NO OT</v>
      </c>
    </row>
    <row r="216" spans="1:9" s="54" customFormat="1" hidden="1" x14ac:dyDescent="0.2">
      <c r="A216" s="35" t="s">
        <v>111</v>
      </c>
      <c r="B216" s="36">
        <v>46171</v>
      </c>
      <c r="C216" s="53" t="s">
        <v>461</v>
      </c>
      <c r="D216" s="52" t="s">
        <v>542</v>
      </c>
      <c r="E216" s="52" t="s">
        <v>703</v>
      </c>
      <c r="F216" s="52" t="s">
        <v>704</v>
      </c>
      <c r="G216" s="35" t="str">
        <f t="shared" si="9"/>
        <v>LATE</v>
      </c>
      <c r="H216" s="37">
        <f t="shared" si="10"/>
        <v>0.22430555555555567</v>
      </c>
      <c r="I216" s="38" t="str">
        <f t="shared" si="11"/>
        <v>NO OT</v>
      </c>
    </row>
    <row r="217" spans="1:9" s="54" customFormat="1" hidden="1" x14ac:dyDescent="0.2">
      <c r="A217" s="35" t="s">
        <v>111</v>
      </c>
      <c r="B217" s="36">
        <v>46172</v>
      </c>
      <c r="C217" s="53" t="s">
        <v>463</v>
      </c>
      <c r="D217" s="52" t="s">
        <v>131</v>
      </c>
      <c r="E217" s="52" t="s">
        <v>601</v>
      </c>
      <c r="F217" s="52" t="s">
        <v>378</v>
      </c>
      <c r="G217" s="35" t="str">
        <f t="shared" si="9"/>
        <v>LATE</v>
      </c>
      <c r="H217" s="37">
        <f t="shared" si="10"/>
        <v>0.28333333333333321</v>
      </c>
      <c r="I217" s="38" t="str">
        <f t="shared" si="11"/>
        <v>NO OT</v>
      </c>
    </row>
    <row r="218" spans="1:9" s="54" customFormat="1" hidden="1" x14ac:dyDescent="0.2">
      <c r="A218" s="35" t="s">
        <v>111</v>
      </c>
      <c r="B218" s="36">
        <v>46173</v>
      </c>
      <c r="C218" s="55" t="s">
        <v>456</v>
      </c>
      <c r="D218" s="52"/>
      <c r="E218" s="52"/>
      <c r="F218" s="52"/>
      <c r="G218" s="55" t="str">
        <f t="shared" si="9"/>
        <v>SUNDAY</v>
      </c>
      <c r="H218" s="37">
        <f t="shared" si="10"/>
        <v>0</v>
      </c>
      <c r="I218" s="38" t="str">
        <f t="shared" si="11"/>
        <v>NO OT</v>
      </c>
    </row>
    <row r="219" spans="1:9" s="54" customFormat="1" hidden="1" x14ac:dyDescent="0.2">
      <c r="A219" s="35" t="s">
        <v>551</v>
      </c>
      <c r="B219" s="36">
        <v>46143</v>
      </c>
      <c r="C219" s="53" t="s">
        <v>461</v>
      </c>
      <c r="D219" s="52" t="s">
        <v>651</v>
      </c>
      <c r="E219" s="52" t="s">
        <v>12</v>
      </c>
      <c r="F219" s="52" t="s">
        <v>188</v>
      </c>
      <c r="G219" s="35" t="str">
        <f t="shared" si="9"/>
        <v>OK</v>
      </c>
      <c r="H219" s="37">
        <f t="shared" si="10"/>
        <v>-0.39722222222222225</v>
      </c>
      <c r="I219" s="38" t="str">
        <f t="shared" si="11"/>
        <v>NO OT</v>
      </c>
    </row>
    <row r="220" spans="1:9" s="54" customFormat="1" hidden="1" x14ac:dyDescent="0.2">
      <c r="A220" s="35" t="s">
        <v>551</v>
      </c>
      <c r="B220" s="36">
        <v>46144</v>
      </c>
      <c r="C220" s="53" t="s">
        <v>463</v>
      </c>
      <c r="D220" s="52" t="s">
        <v>12</v>
      </c>
      <c r="E220" s="52" t="s">
        <v>12</v>
      </c>
      <c r="F220" s="52" t="s">
        <v>12</v>
      </c>
      <c r="G220" s="55" t="str">
        <f t="shared" si="9"/>
        <v>ABSENT</v>
      </c>
      <c r="H220" s="37">
        <f t="shared" si="10"/>
        <v>-4.1666666666666664E-2</v>
      </c>
      <c r="I220" s="38" t="str">
        <f t="shared" si="11"/>
        <v>NO OT</v>
      </c>
    </row>
    <row r="221" spans="1:9" s="54" customFormat="1" hidden="1" x14ac:dyDescent="0.2">
      <c r="A221" s="35" t="s">
        <v>551</v>
      </c>
      <c r="B221" s="36">
        <v>46145</v>
      </c>
      <c r="C221" s="55" t="s">
        <v>456</v>
      </c>
      <c r="D221" s="52"/>
      <c r="E221" s="52"/>
      <c r="F221" s="52"/>
      <c r="G221" s="55" t="str">
        <f t="shared" si="9"/>
        <v>SUNDAY</v>
      </c>
      <c r="H221" s="37">
        <f t="shared" si="10"/>
        <v>0</v>
      </c>
      <c r="I221" s="38" t="str">
        <f t="shared" si="11"/>
        <v>NO OT</v>
      </c>
    </row>
    <row r="222" spans="1:9" s="54" customFormat="1" hidden="1" x14ac:dyDescent="0.2">
      <c r="A222" s="35" t="s">
        <v>551</v>
      </c>
      <c r="B222" s="36">
        <v>46146</v>
      </c>
      <c r="C222" s="53" t="s">
        <v>457</v>
      </c>
      <c r="D222" s="52" t="s">
        <v>705</v>
      </c>
      <c r="E222" s="52" t="s">
        <v>12</v>
      </c>
      <c r="F222" s="52" t="s">
        <v>188</v>
      </c>
      <c r="G222" s="35" t="str">
        <f t="shared" si="9"/>
        <v>LATE</v>
      </c>
      <c r="H222" s="37">
        <f t="shared" si="10"/>
        <v>-0.53680555555555554</v>
      </c>
      <c r="I222" s="38" t="str">
        <f t="shared" si="11"/>
        <v>NO OT</v>
      </c>
    </row>
    <row r="223" spans="1:9" s="54" customFormat="1" hidden="1" x14ac:dyDescent="0.2">
      <c r="A223" s="35" t="s">
        <v>551</v>
      </c>
      <c r="B223" s="36">
        <v>46147</v>
      </c>
      <c r="C223" s="53" t="s">
        <v>458</v>
      </c>
      <c r="D223" s="52" t="s">
        <v>12</v>
      </c>
      <c r="E223" s="52" t="s">
        <v>12</v>
      </c>
      <c r="F223" s="52" t="s">
        <v>12</v>
      </c>
      <c r="G223" s="55" t="str">
        <f t="shared" si="9"/>
        <v>ABSENT</v>
      </c>
      <c r="H223" s="37">
        <f t="shared" si="10"/>
        <v>-4.1666666666666664E-2</v>
      </c>
      <c r="I223" s="38" t="str">
        <f t="shared" si="11"/>
        <v>NO OT</v>
      </c>
    </row>
    <row r="224" spans="1:9" s="54" customFormat="1" hidden="1" x14ac:dyDescent="0.2">
      <c r="A224" s="35" t="s">
        <v>551</v>
      </c>
      <c r="B224" s="36">
        <v>46148</v>
      </c>
      <c r="C224" s="53" t="s">
        <v>459</v>
      </c>
      <c r="D224" s="52" t="s">
        <v>12</v>
      </c>
      <c r="E224" s="52" t="s">
        <v>12</v>
      </c>
      <c r="F224" s="52" t="s">
        <v>12</v>
      </c>
      <c r="G224" s="55" t="str">
        <f t="shared" ref="G224:G287" si="12">IF(C224="Sunday", "SUNDAY", IF(OR(D224=0, D224="", D224="0:0"), "ABSENT", IF(MOD(D224,1) &gt; TIME(9,45,0), "LATE", "OK")))</f>
        <v>ABSENT</v>
      </c>
      <c r="H224" s="37">
        <f t="shared" ref="H224:H287" si="13">IF(OR(D224=0, D224="", E224=0, E224=""), 0, (E224-D224)-TIME(1,0,0))</f>
        <v>-4.1666666666666664E-2</v>
      </c>
      <c r="I224" s="38" t="str">
        <f t="shared" si="11"/>
        <v>NO OT</v>
      </c>
    </row>
    <row r="225" spans="1:9" s="54" customFormat="1" hidden="1" x14ac:dyDescent="0.2">
      <c r="A225" s="35" t="s">
        <v>551</v>
      </c>
      <c r="B225" s="36">
        <v>46149</v>
      </c>
      <c r="C225" s="53" t="s">
        <v>460</v>
      </c>
      <c r="D225" s="52" t="s">
        <v>12</v>
      </c>
      <c r="E225" s="52" t="s">
        <v>12</v>
      </c>
      <c r="F225" s="52" t="s">
        <v>12</v>
      </c>
      <c r="G225" s="55" t="str">
        <f t="shared" si="12"/>
        <v>ABSENT</v>
      </c>
      <c r="H225" s="37">
        <f t="shared" si="13"/>
        <v>-4.1666666666666664E-2</v>
      </c>
      <c r="I225" s="38" t="str">
        <f t="shared" si="11"/>
        <v>NO OT</v>
      </c>
    </row>
    <row r="226" spans="1:9" s="54" customFormat="1" hidden="1" x14ac:dyDescent="0.2">
      <c r="A226" s="35" t="s">
        <v>551</v>
      </c>
      <c r="B226" s="36">
        <v>46150</v>
      </c>
      <c r="C226" s="53" t="s">
        <v>461</v>
      </c>
      <c r="D226" s="52" t="s">
        <v>12</v>
      </c>
      <c r="E226" s="52" t="s">
        <v>12</v>
      </c>
      <c r="F226" s="52" t="s">
        <v>12</v>
      </c>
      <c r="G226" s="55" t="str">
        <f t="shared" si="12"/>
        <v>ABSENT</v>
      </c>
      <c r="H226" s="37">
        <f t="shared" si="13"/>
        <v>-4.1666666666666664E-2</v>
      </c>
      <c r="I226" s="38" t="str">
        <f t="shared" si="11"/>
        <v>NO OT</v>
      </c>
    </row>
    <row r="227" spans="1:9" s="54" customFormat="1" hidden="1" x14ac:dyDescent="0.2">
      <c r="A227" s="35" t="s">
        <v>551</v>
      </c>
      <c r="B227" s="36">
        <v>46151</v>
      </c>
      <c r="C227" s="53" t="s">
        <v>463</v>
      </c>
      <c r="D227" s="52" t="s">
        <v>12</v>
      </c>
      <c r="E227" s="52" t="s">
        <v>12</v>
      </c>
      <c r="F227" s="52" t="s">
        <v>12</v>
      </c>
      <c r="G227" s="55" t="str">
        <f t="shared" si="12"/>
        <v>ABSENT</v>
      </c>
      <c r="H227" s="37">
        <f t="shared" si="13"/>
        <v>-4.1666666666666664E-2</v>
      </c>
      <c r="I227" s="38" t="str">
        <f t="shared" si="11"/>
        <v>NO OT</v>
      </c>
    </row>
    <row r="228" spans="1:9" s="54" customFormat="1" hidden="1" x14ac:dyDescent="0.2">
      <c r="A228" s="35" t="s">
        <v>551</v>
      </c>
      <c r="B228" s="36">
        <v>46152</v>
      </c>
      <c r="C228" s="55" t="s">
        <v>456</v>
      </c>
      <c r="D228" s="52"/>
      <c r="E228" s="52"/>
      <c r="F228" s="52"/>
      <c r="G228" s="55" t="str">
        <f t="shared" si="12"/>
        <v>SUNDAY</v>
      </c>
      <c r="H228" s="37">
        <f t="shared" si="13"/>
        <v>0</v>
      </c>
      <c r="I228" s="38" t="str">
        <f t="shared" si="11"/>
        <v>NO OT</v>
      </c>
    </row>
    <row r="229" spans="1:9" s="54" customFormat="1" hidden="1" x14ac:dyDescent="0.2">
      <c r="A229" s="35" t="s">
        <v>551</v>
      </c>
      <c r="B229" s="36">
        <v>46153</v>
      </c>
      <c r="C229" s="53" t="s">
        <v>457</v>
      </c>
      <c r="D229" s="52" t="s">
        <v>12</v>
      </c>
      <c r="E229" s="52" t="s">
        <v>12</v>
      </c>
      <c r="F229" s="52" t="s">
        <v>12</v>
      </c>
      <c r="G229" s="55" t="str">
        <f t="shared" si="12"/>
        <v>ABSENT</v>
      </c>
      <c r="H229" s="37">
        <f t="shared" si="13"/>
        <v>-4.1666666666666664E-2</v>
      </c>
      <c r="I229" s="38" t="str">
        <f t="shared" si="11"/>
        <v>NO OT</v>
      </c>
    </row>
    <row r="230" spans="1:9" s="54" customFormat="1" hidden="1" x14ac:dyDescent="0.2">
      <c r="A230" s="35" t="s">
        <v>551</v>
      </c>
      <c r="B230" s="36">
        <v>46154</v>
      </c>
      <c r="C230" s="53" t="s">
        <v>458</v>
      </c>
      <c r="D230" s="52" t="s">
        <v>12</v>
      </c>
      <c r="E230" s="52" t="s">
        <v>12</v>
      </c>
      <c r="F230" s="52" t="s">
        <v>12</v>
      </c>
      <c r="G230" s="55" t="str">
        <f t="shared" si="12"/>
        <v>ABSENT</v>
      </c>
      <c r="H230" s="37">
        <f t="shared" si="13"/>
        <v>-4.1666666666666664E-2</v>
      </c>
      <c r="I230" s="38" t="str">
        <f t="shared" si="11"/>
        <v>NO OT</v>
      </c>
    </row>
    <row r="231" spans="1:9" s="54" customFormat="1" hidden="1" x14ac:dyDescent="0.2">
      <c r="A231" s="35" t="s">
        <v>551</v>
      </c>
      <c r="B231" s="36">
        <v>46155</v>
      </c>
      <c r="C231" s="53" t="s">
        <v>459</v>
      </c>
      <c r="D231" s="52" t="s">
        <v>12</v>
      </c>
      <c r="E231" s="52" t="s">
        <v>12</v>
      </c>
      <c r="F231" s="52" t="s">
        <v>12</v>
      </c>
      <c r="G231" s="55" t="str">
        <f t="shared" si="12"/>
        <v>ABSENT</v>
      </c>
      <c r="H231" s="37">
        <f t="shared" si="13"/>
        <v>-4.1666666666666664E-2</v>
      </c>
      <c r="I231" s="38" t="str">
        <f t="shared" si="11"/>
        <v>NO OT</v>
      </c>
    </row>
    <row r="232" spans="1:9" s="54" customFormat="1" hidden="1" x14ac:dyDescent="0.2">
      <c r="A232" s="35" t="s">
        <v>551</v>
      </c>
      <c r="B232" s="36">
        <v>46156</v>
      </c>
      <c r="C232" s="53" t="s">
        <v>460</v>
      </c>
      <c r="D232" s="52" t="s">
        <v>12</v>
      </c>
      <c r="E232" s="52" t="s">
        <v>12</v>
      </c>
      <c r="F232" s="52" t="s">
        <v>12</v>
      </c>
      <c r="G232" s="55" t="str">
        <f t="shared" si="12"/>
        <v>ABSENT</v>
      </c>
      <c r="H232" s="37">
        <f t="shared" si="13"/>
        <v>-4.1666666666666664E-2</v>
      </c>
      <c r="I232" s="38" t="str">
        <f t="shared" si="11"/>
        <v>NO OT</v>
      </c>
    </row>
    <row r="233" spans="1:9" s="54" customFormat="1" hidden="1" x14ac:dyDescent="0.2">
      <c r="A233" s="35" t="s">
        <v>551</v>
      </c>
      <c r="B233" s="36">
        <v>46157</v>
      </c>
      <c r="C233" s="53" t="s">
        <v>461</v>
      </c>
      <c r="D233" s="52" t="s">
        <v>565</v>
      </c>
      <c r="E233" s="52" t="s">
        <v>508</v>
      </c>
      <c r="F233" s="52" t="s">
        <v>451</v>
      </c>
      <c r="G233" s="35" t="str">
        <f t="shared" si="12"/>
        <v>OK</v>
      </c>
      <c r="H233" s="37">
        <f t="shared" si="13"/>
        <v>0.3041666666666667</v>
      </c>
      <c r="I233" s="38" t="str">
        <f t="shared" si="11"/>
        <v>NO OT</v>
      </c>
    </row>
    <row r="234" spans="1:9" s="54" customFormat="1" hidden="1" x14ac:dyDescent="0.2">
      <c r="A234" s="35" t="s">
        <v>551</v>
      </c>
      <c r="B234" s="36">
        <v>46158</v>
      </c>
      <c r="C234" s="53" t="s">
        <v>463</v>
      </c>
      <c r="D234" s="52" t="s">
        <v>569</v>
      </c>
      <c r="E234" s="52" t="s">
        <v>261</v>
      </c>
      <c r="F234" s="52" t="s">
        <v>690</v>
      </c>
      <c r="G234" s="35" t="str">
        <f t="shared" si="12"/>
        <v>OK</v>
      </c>
      <c r="H234" s="37">
        <f t="shared" si="13"/>
        <v>0.35624999999999996</v>
      </c>
      <c r="I234" s="38" t="str">
        <f t="shared" si="11"/>
        <v>NO OT</v>
      </c>
    </row>
    <row r="235" spans="1:9" s="54" customFormat="1" hidden="1" x14ac:dyDescent="0.2">
      <c r="A235" s="35" t="s">
        <v>551</v>
      </c>
      <c r="B235" s="36">
        <v>46159</v>
      </c>
      <c r="C235" s="55" t="s">
        <v>456</v>
      </c>
      <c r="D235" s="52"/>
      <c r="E235" s="52"/>
      <c r="F235" s="52"/>
      <c r="G235" s="55" t="str">
        <f t="shared" si="12"/>
        <v>SUNDAY</v>
      </c>
      <c r="H235" s="37">
        <f t="shared" si="13"/>
        <v>0</v>
      </c>
      <c r="I235" s="38" t="str">
        <f t="shared" si="11"/>
        <v>NO OT</v>
      </c>
    </row>
    <row r="236" spans="1:9" s="54" customFormat="1" hidden="1" x14ac:dyDescent="0.2">
      <c r="A236" s="35" t="s">
        <v>551</v>
      </c>
      <c r="B236" s="36">
        <v>46160</v>
      </c>
      <c r="C236" s="53" t="s">
        <v>457</v>
      </c>
      <c r="D236" s="52" t="s">
        <v>649</v>
      </c>
      <c r="E236" s="52" t="s">
        <v>190</v>
      </c>
      <c r="F236" s="52" t="s">
        <v>571</v>
      </c>
      <c r="G236" s="35" t="str">
        <f t="shared" si="12"/>
        <v>OK</v>
      </c>
      <c r="H236" s="37">
        <f t="shared" si="13"/>
        <v>0.37013888888888891</v>
      </c>
      <c r="I236" s="38" t="str">
        <f t="shared" si="11"/>
        <v>NO OT</v>
      </c>
    </row>
    <row r="237" spans="1:9" s="54" customFormat="1" hidden="1" x14ac:dyDescent="0.2">
      <c r="A237" s="35" t="s">
        <v>551</v>
      </c>
      <c r="B237" s="36">
        <v>46161</v>
      </c>
      <c r="C237" s="53" t="s">
        <v>458</v>
      </c>
      <c r="D237" s="52" t="s">
        <v>636</v>
      </c>
      <c r="E237" s="52" t="s">
        <v>601</v>
      </c>
      <c r="F237" s="52" t="s">
        <v>706</v>
      </c>
      <c r="G237" s="35" t="str">
        <f t="shared" si="12"/>
        <v>OK</v>
      </c>
      <c r="H237" s="37">
        <f t="shared" si="13"/>
        <v>0.37569444444444433</v>
      </c>
      <c r="I237" s="38" t="str">
        <f t="shared" si="11"/>
        <v>NO OT</v>
      </c>
    </row>
    <row r="238" spans="1:9" s="54" customFormat="1" hidden="1" x14ac:dyDescent="0.2">
      <c r="A238" s="35" t="s">
        <v>551</v>
      </c>
      <c r="B238" s="36">
        <v>46162</v>
      </c>
      <c r="C238" s="53" t="s">
        <v>459</v>
      </c>
      <c r="D238" s="52" t="s">
        <v>569</v>
      </c>
      <c r="E238" s="52" t="s">
        <v>251</v>
      </c>
      <c r="F238" s="52" t="s">
        <v>707</v>
      </c>
      <c r="G238" s="35" t="str">
        <f t="shared" si="12"/>
        <v>OK</v>
      </c>
      <c r="H238" s="37">
        <f t="shared" si="13"/>
        <v>0.37500000000000011</v>
      </c>
      <c r="I238" s="38" t="str">
        <f t="shared" si="11"/>
        <v>NO OT</v>
      </c>
    </row>
    <row r="239" spans="1:9" s="54" customFormat="1" hidden="1" x14ac:dyDescent="0.2">
      <c r="A239" s="35" t="s">
        <v>551</v>
      </c>
      <c r="B239" s="36">
        <v>46163</v>
      </c>
      <c r="C239" s="53" t="s">
        <v>460</v>
      </c>
      <c r="D239" s="52" t="s">
        <v>708</v>
      </c>
      <c r="E239" s="52" t="s">
        <v>340</v>
      </c>
      <c r="F239" s="52" t="s">
        <v>556</v>
      </c>
      <c r="G239" s="35" t="str">
        <f t="shared" si="12"/>
        <v>OK</v>
      </c>
      <c r="H239" s="37">
        <f t="shared" si="13"/>
        <v>0.34861111111111098</v>
      </c>
      <c r="I239" s="38" t="str">
        <f t="shared" si="11"/>
        <v>NO OT</v>
      </c>
    </row>
    <row r="240" spans="1:9" s="54" customFormat="1" hidden="1" x14ac:dyDescent="0.2">
      <c r="A240" s="35" t="s">
        <v>551</v>
      </c>
      <c r="B240" s="36">
        <v>46164</v>
      </c>
      <c r="C240" s="53" t="s">
        <v>461</v>
      </c>
      <c r="D240" s="52" t="s">
        <v>645</v>
      </c>
      <c r="E240" s="52" t="s">
        <v>212</v>
      </c>
      <c r="F240" s="52" t="s">
        <v>709</v>
      </c>
      <c r="G240" s="35" t="str">
        <f t="shared" si="12"/>
        <v>OK</v>
      </c>
      <c r="H240" s="37">
        <f t="shared" si="13"/>
        <v>0.36874999999999991</v>
      </c>
      <c r="I240" s="38" t="str">
        <f t="shared" si="11"/>
        <v>NO OT</v>
      </c>
    </row>
    <row r="241" spans="1:9" s="54" customFormat="1" hidden="1" x14ac:dyDescent="0.2">
      <c r="A241" s="35" t="s">
        <v>551</v>
      </c>
      <c r="B241" s="36">
        <v>46165</v>
      </c>
      <c r="C241" s="53" t="s">
        <v>463</v>
      </c>
      <c r="D241" s="52" t="s">
        <v>710</v>
      </c>
      <c r="E241" s="52" t="s">
        <v>303</v>
      </c>
      <c r="F241" s="52" t="s">
        <v>711</v>
      </c>
      <c r="G241" s="35" t="str">
        <f t="shared" si="12"/>
        <v>OK</v>
      </c>
      <c r="H241" s="37">
        <f t="shared" si="13"/>
        <v>0.38055555555555542</v>
      </c>
      <c r="I241" s="38" t="str">
        <f t="shared" si="11"/>
        <v>NO OT</v>
      </c>
    </row>
    <row r="242" spans="1:9" s="54" customFormat="1" hidden="1" x14ac:dyDescent="0.2">
      <c r="A242" s="35" t="s">
        <v>551</v>
      </c>
      <c r="B242" s="36">
        <v>46166</v>
      </c>
      <c r="C242" s="55" t="s">
        <v>456</v>
      </c>
      <c r="D242" s="52"/>
      <c r="E242" s="52"/>
      <c r="F242" s="52"/>
      <c r="G242" s="55" t="str">
        <f t="shared" si="12"/>
        <v>SUNDAY</v>
      </c>
      <c r="H242" s="37">
        <f t="shared" si="13"/>
        <v>0</v>
      </c>
      <c r="I242" s="38" t="str">
        <f t="shared" si="11"/>
        <v>NO OT</v>
      </c>
    </row>
    <row r="243" spans="1:9" s="54" customFormat="1" hidden="1" x14ac:dyDescent="0.2">
      <c r="A243" s="35" t="s">
        <v>551</v>
      </c>
      <c r="B243" s="36">
        <v>46167</v>
      </c>
      <c r="C243" s="53" t="s">
        <v>457</v>
      </c>
      <c r="D243" s="52" t="s">
        <v>574</v>
      </c>
      <c r="E243" s="52" t="s">
        <v>712</v>
      </c>
      <c r="F243" s="52" t="s">
        <v>713</v>
      </c>
      <c r="G243" s="35" t="str">
        <f t="shared" si="12"/>
        <v>OK</v>
      </c>
      <c r="H243" s="37">
        <f t="shared" si="13"/>
        <v>0.43194444444444446</v>
      </c>
      <c r="I243" s="48" t="str">
        <f t="shared" si="11"/>
        <v>01:03</v>
      </c>
    </row>
    <row r="244" spans="1:9" s="54" customFormat="1" hidden="1" x14ac:dyDescent="0.2">
      <c r="A244" s="35" t="s">
        <v>551</v>
      </c>
      <c r="B244" s="36">
        <v>46168</v>
      </c>
      <c r="C244" s="53" t="s">
        <v>458</v>
      </c>
      <c r="D244" s="52" t="s">
        <v>643</v>
      </c>
      <c r="E244" s="52" t="s">
        <v>584</v>
      </c>
      <c r="F244" s="52" t="s">
        <v>414</v>
      </c>
      <c r="G244" s="35" t="str">
        <f t="shared" si="12"/>
        <v>OK</v>
      </c>
      <c r="H244" s="37">
        <f t="shared" si="13"/>
        <v>0.26666666666666672</v>
      </c>
      <c r="I244" s="38" t="str">
        <f t="shared" si="11"/>
        <v>NO OT</v>
      </c>
    </row>
    <row r="245" spans="1:9" s="54" customFormat="1" hidden="1" x14ac:dyDescent="0.2">
      <c r="A245" s="35" t="s">
        <v>551</v>
      </c>
      <c r="B245" s="36">
        <v>46169</v>
      </c>
      <c r="C245" s="53" t="s">
        <v>459</v>
      </c>
      <c r="D245" s="52" t="s">
        <v>714</v>
      </c>
      <c r="E245" s="52" t="s">
        <v>621</v>
      </c>
      <c r="F245" s="52" t="s">
        <v>674</v>
      </c>
      <c r="G245" s="35" t="str">
        <f t="shared" si="12"/>
        <v>OK</v>
      </c>
      <c r="H245" s="37">
        <f t="shared" si="13"/>
        <v>0.39861111111111114</v>
      </c>
      <c r="I245" s="48" t="str">
        <f t="shared" si="11"/>
        <v>00:07</v>
      </c>
    </row>
    <row r="246" spans="1:9" s="54" customFormat="1" hidden="1" x14ac:dyDescent="0.2">
      <c r="A246" s="35" t="s">
        <v>551</v>
      </c>
      <c r="B246" s="36">
        <v>46170</v>
      </c>
      <c r="C246" s="53" t="s">
        <v>460</v>
      </c>
      <c r="D246" s="52"/>
      <c r="E246" s="52"/>
      <c r="F246" s="52"/>
      <c r="G246" s="55" t="s">
        <v>721</v>
      </c>
      <c r="H246" s="37">
        <f t="shared" si="13"/>
        <v>0</v>
      </c>
      <c r="I246" s="38" t="str">
        <f t="shared" si="11"/>
        <v>NO OT</v>
      </c>
    </row>
    <row r="247" spans="1:9" s="54" customFormat="1" hidden="1" x14ac:dyDescent="0.2">
      <c r="A247" s="35" t="s">
        <v>551</v>
      </c>
      <c r="B247" s="36">
        <v>46171</v>
      </c>
      <c r="C247" s="53" t="s">
        <v>461</v>
      </c>
      <c r="D247" s="52" t="s">
        <v>636</v>
      </c>
      <c r="E247" s="52" t="s">
        <v>245</v>
      </c>
      <c r="F247" s="52" t="s">
        <v>226</v>
      </c>
      <c r="G247" s="35" t="str">
        <f t="shared" si="12"/>
        <v>OK</v>
      </c>
      <c r="H247" s="37">
        <f t="shared" si="13"/>
        <v>0.31527777777777777</v>
      </c>
      <c r="I247" s="38" t="str">
        <f t="shared" si="11"/>
        <v>NO OT</v>
      </c>
    </row>
    <row r="248" spans="1:9" s="54" customFormat="1" hidden="1" x14ac:dyDescent="0.2">
      <c r="A248" s="35" t="s">
        <v>551</v>
      </c>
      <c r="B248" s="36">
        <v>46172</v>
      </c>
      <c r="C248" s="53" t="s">
        <v>463</v>
      </c>
      <c r="D248" s="52" t="s">
        <v>574</v>
      </c>
      <c r="E248" s="52" t="s">
        <v>223</v>
      </c>
      <c r="F248" s="52" t="s">
        <v>650</v>
      </c>
      <c r="G248" s="35" t="str">
        <f t="shared" si="12"/>
        <v>OK</v>
      </c>
      <c r="H248" s="37">
        <f t="shared" si="13"/>
        <v>0.37083333333333324</v>
      </c>
      <c r="I248" s="38" t="str">
        <f t="shared" si="11"/>
        <v>NO OT</v>
      </c>
    </row>
    <row r="249" spans="1:9" s="54" customFormat="1" hidden="1" x14ac:dyDescent="0.2">
      <c r="A249" s="35" t="s">
        <v>551</v>
      </c>
      <c r="B249" s="36">
        <v>46173</v>
      </c>
      <c r="C249" s="55" t="s">
        <v>456</v>
      </c>
      <c r="D249" s="52"/>
      <c r="E249" s="52"/>
      <c r="F249" s="52"/>
      <c r="G249" s="55" t="str">
        <f t="shared" si="12"/>
        <v>SUNDAY</v>
      </c>
      <c r="H249" s="37">
        <f t="shared" si="13"/>
        <v>0</v>
      </c>
      <c r="I249" s="38" t="str">
        <f t="shared" si="11"/>
        <v>NO OT</v>
      </c>
    </row>
    <row r="250" spans="1:9" s="54" customFormat="1" hidden="1" x14ac:dyDescent="0.2">
      <c r="A250" s="35" t="s">
        <v>576</v>
      </c>
      <c r="B250" s="36">
        <v>46143</v>
      </c>
      <c r="C250" s="53" t="s">
        <v>461</v>
      </c>
      <c r="D250" s="52" t="s">
        <v>144</v>
      </c>
      <c r="E250" s="52" t="s">
        <v>618</v>
      </c>
      <c r="F250" s="52" t="s">
        <v>394</v>
      </c>
      <c r="G250" s="35" t="str">
        <f t="shared" si="12"/>
        <v>LATE</v>
      </c>
      <c r="H250" s="37">
        <f t="shared" si="13"/>
        <v>0.27638888888888891</v>
      </c>
      <c r="I250" s="38" t="str">
        <f t="shared" si="11"/>
        <v>NO OT</v>
      </c>
    </row>
    <row r="251" spans="1:9" s="54" customFormat="1" hidden="1" x14ac:dyDescent="0.2">
      <c r="A251" s="35" t="s">
        <v>576</v>
      </c>
      <c r="B251" s="36">
        <v>46144</v>
      </c>
      <c r="C251" s="53" t="s">
        <v>463</v>
      </c>
      <c r="D251" s="52" t="s">
        <v>12</v>
      </c>
      <c r="E251" s="52" t="s">
        <v>12</v>
      </c>
      <c r="F251" s="52" t="s">
        <v>12</v>
      </c>
      <c r="G251" s="55" t="str">
        <f t="shared" si="12"/>
        <v>ABSENT</v>
      </c>
      <c r="H251" s="37">
        <f t="shared" si="13"/>
        <v>-4.1666666666666664E-2</v>
      </c>
      <c r="I251" s="38" t="str">
        <f t="shared" si="11"/>
        <v>NO OT</v>
      </c>
    </row>
    <row r="252" spans="1:9" s="54" customFormat="1" hidden="1" x14ac:dyDescent="0.2">
      <c r="A252" s="35" t="s">
        <v>576</v>
      </c>
      <c r="B252" s="36">
        <v>46145</v>
      </c>
      <c r="C252" s="55" t="s">
        <v>456</v>
      </c>
      <c r="D252" s="52"/>
      <c r="E252" s="52"/>
      <c r="F252" s="52"/>
      <c r="G252" s="55" t="str">
        <f t="shared" si="12"/>
        <v>SUNDAY</v>
      </c>
      <c r="H252" s="37">
        <f t="shared" si="13"/>
        <v>0</v>
      </c>
      <c r="I252" s="38" t="str">
        <f t="shared" si="11"/>
        <v>NO OT</v>
      </c>
    </row>
    <row r="253" spans="1:9" s="54" customFormat="1" hidden="1" x14ac:dyDescent="0.2">
      <c r="A253" s="35" t="s">
        <v>576</v>
      </c>
      <c r="B253" s="36">
        <v>46146</v>
      </c>
      <c r="C253" s="53" t="s">
        <v>457</v>
      </c>
      <c r="D253" s="52" t="s">
        <v>185</v>
      </c>
      <c r="E253" s="52" t="s">
        <v>274</v>
      </c>
      <c r="F253" s="52" t="s">
        <v>470</v>
      </c>
      <c r="G253" s="35" t="str">
        <f t="shared" si="12"/>
        <v>LATE</v>
      </c>
      <c r="H253" s="37">
        <f t="shared" si="13"/>
        <v>0.27569444444444435</v>
      </c>
      <c r="I253" s="38" t="str">
        <f t="shared" si="11"/>
        <v>NO OT</v>
      </c>
    </row>
    <row r="254" spans="1:9" s="54" customFormat="1" hidden="1" x14ac:dyDescent="0.2">
      <c r="A254" s="35" t="s">
        <v>576</v>
      </c>
      <c r="B254" s="36">
        <v>46147</v>
      </c>
      <c r="C254" s="53" t="s">
        <v>458</v>
      </c>
      <c r="D254" s="52" t="s">
        <v>83</v>
      </c>
      <c r="E254" s="52" t="s">
        <v>313</v>
      </c>
      <c r="F254" s="52" t="s">
        <v>467</v>
      </c>
      <c r="G254" s="35" t="str">
        <f t="shared" si="12"/>
        <v>LATE</v>
      </c>
      <c r="H254" s="37">
        <f t="shared" si="13"/>
        <v>0.27430555555555552</v>
      </c>
      <c r="I254" s="38" t="str">
        <f t="shared" si="11"/>
        <v>NO OT</v>
      </c>
    </row>
    <row r="255" spans="1:9" s="54" customFormat="1" hidden="1" x14ac:dyDescent="0.2">
      <c r="A255" s="35" t="s">
        <v>576</v>
      </c>
      <c r="B255" s="36">
        <v>46148</v>
      </c>
      <c r="C255" s="53" t="s">
        <v>459</v>
      </c>
      <c r="D255" s="52" t="s">
        <v>144</v>
      </c>
      <c r="E255" s="52" t="s">
        <v>274</v>
      </c>
      <c r="F255" s="52" t="s">
        <v>600</v>
      </c>
      <c r="G255" s="35" t="str">
        <f t="shared" si="12"/>
        <v>LATE</v>
      </c>
      <c r="H255" s="37">
        <f t="shared" si="13"/>
        <v>0.27847222222222212</v>
      </c>
      <c r="I255" s="38" t="str">
        <f t="shared" si="11"/>
        <v>NO OT</v>
      </c>
    </row>
    <row r="256" spans="1:9" s="54" customFormat="1" hidden="1" x14ac:dyDescent="0.2">
      <c r="A256" s="35" t="s">
        <v>576</v>
      </c>
      <c r="B256" s="36">
        <v>46149</v>
      </c>
      <c r="C256" s="53" t="s">
        <v>460</v>
      </c>
      <c r="D256" s="52" t="s">
        <v>581</v>
      </c>
      <c r="E256" s="52" t="s">
        <v>434</v>
      </c>
      <c r="F256" s="52" t="s">
        <v>385</v>
      </c>
      <c r="G256" s="35" t="str">
        <f t="shared" si="12"/>
        <v>LATE</v>
      </c>
      <c r="H256" s="37">
        <f t="shared" si="13"/>
        <v>0.26944444444444443</v>
      </c>
      <c r="I256" s="38" t="str">
        <f t="shared" si="11"/>
        <v>NO OT</v>
      </c>
    </row>
    <row r="257" spans="1:9" s="54" customFormat="1" hidden="1" x14ac:dyDescent="0.2">
      <c r="A257" s="35" t="s">
        <v>576</v>
      </c>
      <c r="B257" s="36">
        <v>46150</v>
      </c>
      <c r="C257" s="53" t="s">
        <v>461</v>
      </c>
      <c r="D257" s="52" t="s">
        <v>183</v>
      </c>
      <c r="E257" s="52" t="s">
        <v>438</v>
      </c>
      <c r="F257" s="52" t="s">
        <v>359</v>
      </c>
      <c r="G257" s="35" t="str">
        <f t="shared" si="12"/>
        <v>LATE</v>
      </c>
      <c r="H257" s="37">
        <f t="shared" si="13"/>
        <v>0.26527777777777778</v>
      </c>
      <c r="I257" s="38" t="str">
        <f t="shared" si="11"/>
        <v>NO OT</v>
      </c>
    </row>
    <row r="258" spans="1:9" s="54" customFormat="1" hidden="1" x14ac:dyDescent="0.2">
      <c r="A258" s="35" t="s">
        <v>576</v>
      </c>
      <c r="B258" s="36">
        <v>46151</v>
      </c>
      <c r="C258" s="53" t="s">
        <v>463</v>
      </c>
      <c r="D258" s="52" t="s">
        <v>165</v>
      </c>
      <c r="E258" s="52" t="s">
        <v>715</v>
      </c>
      <c r="F258" s="52" t="s">
        <v>716</v>
      </c>
      <c r="G258" s="35" t="str">
        <f t="shared" si="12"/>
        <v>LATE</v>
      </c>
      <c r="H258" s="37">
        <f t="shared" si="13"/>
        <v>0.19930555555555554</v>
      </c>
      <c r="I258" s="38" t="str">
        <f t="shared" si="11"/>
        <v>NO OT</v>
      </c>
    </row>
    <row r="259" spans="1:9" s="54" customFormat="1" hidden="1" x14ac:dyDescent="0.2">
      <c r="A259" s="35" t="s">
        <v>576</v>
      </c>
      <c r="B259" s="36">
        <v>46152</v>
      </c>
      <c r="C259" s="55" t="s">
        <v>456</v>
      </c>
      <c r="D259" s="52"/>
      <c r="E259" s="52"/>
      <c r="F259" s="52"/>
      <c r="G259" s="55" t="str">
        <f t="shared" si="12"/>
        <v>SUNDAY</v>
      </c>
      <c r="H259" s="37">
        <f t="shared" si="13"/>
        <v>0</v>
      </c>
      <c r="I259" s="38" t="str">
        <f t="shared" si="11"/>
        <v>NO OT</v>
      </c>
    </row>
    <row r="260" spans="1:9" s="54" customFormat="1" hidden="1" x14ac:dyDescent="0.2">
      <c r="A260" s="35" t="s">
        <v>576</v>
      </c>
      <c r="B260" s="36">
        <v>46153</v>
      </c>
      <c r="C260" s="53" t="s">
        <v>457</v>
      </c>
      <c r="D260" s="52" t="s">
        <v>144</v>
      </c>
      <c r="E260" s="52" t="s">
        <v>618</v>
      </c>
      <c r="F260" s="52" t="s">
        <v>394</v>
      </c>
      <c r="G260" s="35" t="str">
        <f t="shared" si="12"/>
        <v>LATE</v>
      </c>
      <c r="H260" s="37">
        <f t="shared" si="13"/>
        <v>0.27638888888888891</v>
      </c>
      <c r="I260" s="38" t="str">
        <f t="shared" ref="I260:I311" si="14">IF(VALUE(E260) &gt; TIME(19,0,0), TEXT(VALUE(E260) - TIME(19,0,0), "hh:mm"), "NO OT")</f>
        <v>NO OT</v>
      </c>
    </row>
    <row r="261" spans="1:9" s="54" customFormat="1" hidden="1" x14ac:dyDescent="0.2">
      <c r="A261" s="35" t="s">
        <v>576</v>
      </c>
      <c r="B261" s="36">
        <v>46154</v>
      </c>
      <c r="C261" s="53" t="s">
        <v>458</v>
      </c>
      <c r="D261" s="52" t="s">
        <v>185</v>
      </c>
      <c r="E261" s="52" t="s">
        <v>12</v>
      </c>
      <c r="F261" s="52" t="s">
        <v>188</v>
      </c>
      <c r="G261" s="35" t="str">
        <f t="shared" si="12"/>
        <v>LATE</v>
      </c>
      <c r="H261" s="37">
        <f t="shared" si="13"/>
        <v>-0.47013888888888888</v>
      </c>
      <c r="I261" s="38" t="str">
        <f t="shared" si="14"/>
        <v>NO OT</v>
      </c>
    </row>
    <row r="262" spans="1:9" s="54" customFormat="1" hidden="1" x14ac:dyDescent="0.2">
      <c r="A262" s="35" t="s">
        <v>576</v>
      </c>
      <c r="B262" s="36">
        <v>46155</v>
      </c>
      <c r="C262" s="53" t="s">
        <v>459</v>
      </c>
      <c r="D262" s="52" t="s">
        <v>529</v>
      </c>
      <c r="E262" s="52" t="s">
        <v>236</v>
      </c>
      <c r="F262" s="52" t="s">
        <v>439</v>
      </c>
      <c r="G262" s="35" t="str">
        <f t="shared" si="12"/>
        <v>LATE</v>
      </c>
      <c r="H262" s="37">
        <f t="shared" si="13"/>
        <v>0.2680555555555556</v>
      </c>
      <c r="I262" s="38" t="str">
        <f t="shared" si="14"/>
        <v>NO OT</v>
      </c>
    </row>
    <row r="263" spans="1:9" s="54" customFormat="1" hidden="1" x14ac:dyDescent="0.2">
      <c r="A263" s="35" t="s">
        <v>576</v>
      </c>
      <c r="B263" s="36">
        <v>46156</v>
      </c>
      <c r="C263" s="53" t="s">
        <v>460</v>
      </c>
      <c r="D263" s="52" t="s">
        <v>12</v>
      </c>
      <c r="E263" s="52" t="s">
        <v>12</v>
      </c>
      <c r="F263" s="52" t="s">
        <v>12</v>
      </c>
      <c r="G263" s="55" t="str">
        <f t="shared" si="12"/>
        <v>ABSENT</v>
      </c>
      <c r="H263" s="37">
        <f t="shared" si="13"/>
        <v>-4.1666666666666664E-2</v>
      </c>
      <c r="I263" s="38" t="str">
        <f t="shared" si="14"/>
        <v>NO OT</v>
      </c>
    </row>
    <row r="264" spans="1:9" s="54" customFormat="1" hidden="1" x14ac:dyDescent="0.2">
      <c r="A264" s="35" t="s">
        <v>576</v>
      </c>
      <c r="B264" s="36">
        <v>46157</v>
      </c>
      <c r="C264" s="53" t="s">
        <v>461</v>
      </c>
      <c r="D264" s="52" t="s">
        <v>101</v>
      </c>
      <c r="E264" s="52" t="s">
        <v>274</v>
      </c>
      <c r="F264" s="52" t="s">
        <v>428</v>
      </c>
      <c r="G264" s="35" t="str">
        <f t="shared" si="12"/>
        <v>LATE</v>
      </c>
      <c r="H264" s="37">
        <f t="shared" si="13"/>
        <v>0.28194444444444433</v>
      </c>
      <c r="I264" s="38" t="str">
        <f t="shared" si="14"/>
        <v>NO OT</v>
      </c>
    </row>
    <row r="265" spans="1:9" s="54" customFormat="1" hidden="1" x14ac:dyDescent="0.2">
      <c r="A265" s="35" t="s">
        <v>576</v>
      </c>
      <c r="B265" s="36">
        <v>46158</v>
      </c>
      <c r="C265" s="53" t="s">
        <v>463</v>
      </c>
      <c r="D265" s="52" t="s">
        <v>182</v>
      </c>
      <c r="E265" s="52" t="s">
        <v>12</v>
      </c>
      <c r="F265" s="52" t="s">
        <v>188</v>
      </c>
      <c r="G265" s="35" t="str">
        <f t="shared" si="12"/>
        <v>LATE</v>
      </c>
      <c r="H265" s="37">
        <f t="shared" si="13"/>
        <v>-0.46666666666666667</v>
      </c>
      <c r="I265" s="38" t="str">
        <f t="shared" si="14"/>
        <v>NO OT</v>
      </c>
    </row>
    <row r="266" spans="1:9" s="54" customFormat="1" hidden="1" x14ac:dyDescent="0.2">
      <c r="A266" s="35" t="s">
        <v>576</v>
      </c>
      <c r="B266" s="36">
        <v>46159</v>
      </c>
      <c r="C266" s="55" t="s">
        <v>456</v>
      </c>
      <c r="D266" s="52"/>
      <c r="E266" s="52"/>
      <c r="F266" s="52"/>
      <c r="G266" s="55" t="str">
        <f t="shared" si="12"/>
        <v>SUNDAY</v>
      </c>
      <c r="H266" s="37">
        <f t="shared" si="13"/>
        <v>0</v>
      </c>
      <c r="I266" s="38" t="str">
        <f t="shared" si="14"/>
        <v>NO OT</v>
      </c>
    </row>
    <row r="267" spans="1:9" s="54" customFormat="1" hidden="1" x14ac:dyDescent="0.2">
      <c r="A267" s="35" t="s">
        <v>576</v>
      </c>
      <c r="B267" s="36">
        <v>46160</v>
      </c>
      <c r="C267" s="53" t="s">
        <v>457</v>
      </c>
      <c r="D267" s="52" t="s">
        <v>12</v>
      </c>
      <c r="E267" s="52" t="s">
        <v>12</v>
      </c>
      <c r="F267" s="52" t="s">
        <v>12</v>
      </c>
      <c r="G267" s="55" t="str">
        <f t="shared" si="12"/>
        <v>ABSENT</v>
      </c>
      <c r="H267" s="37">
        <f t="shared" si="13"/>
        <v>-4.1666666666666664E-2</v>
      </c>
      <c r="I267" s="38" t="str">
        <f t="shared" si="14"/>
        <v>NO OT</v>
      </c>
    </row>
    <row r="268" spans="1:9" s="54" customFormat="1" hidden="1" x14ac:dyDescent="0.2">
      <c r="A268" s="35" t="s">
        <v>576</v>
      </c>
      <c r="B268" s="36">
        <v>46161</v>
      </c>
      <c r="C268" s="53" t="s">
        <v>458</v>
      </c>
      <c r="D268" s="52" t="s">
        <v>12</v>
      </c>
      <c r="E268" s="52" t="s">
        <v>12</v>
      </c>
      <c r="F268" s="52" t="s">
        <v>12</v>
      </c>
      <c r="G268" s="55" t="str">
        <f t="shared" si="12"/>
        <v>ABSENT</v>
      </c>
      <c r="H268" s="37">
        <f t="shared" si="13"/>
        <v>-4.1666666666666664E-2</v>
      </c>
      <c r="I268" s="38" t="str">
        <f t="shared" si="14"/>
        <v>NO OT</v>
      </c>
    </row>
    <row r="269" spans="1:9" s="54" customFormat="1" hidden="1" x14ac:dyDescent="0.2">
      <c r="A269" s="35" t="s">
        <v>576</v>
      </c>
      <c r="B269" s="36">
        <v>46162</v>
      </c>
      <c r="C269" s="53" t="s">
        <v>459</v>
      </c>
      <c r="D269" s="52" t="s">
        <v>12</v>
      </c>
      <c r="E269" s="52" t="s">
        <v>12</v>
      </c>
      <c r="F269" s="52" t="s">
        <v>12</v>
      </c>
      <c r="G269" s="55" t="str">
        <f t="shared" si="12"/>
        <v>ABSENT</v>
      </c>
      <c r="H269" s="37">
        <f t="shared" si="13"/>
        <v>-4.1666666666666664E-2</v>
      </c>
      <c r="I269" s="38" t="str">
        <f t="shared" si="14"/>
        <v>NO OT</v>
      </c>
    </row>
    <row r="270" spans="1:9" s="54" customFormat="1" hidden="1" x14ac:dyDescent="0.2">
      <c r="A270" s="35" t="s">
        <v>576</v>
      </c>
      <c r="B270" s="36">
        <v>46163</v>
      </c>
      <c r="C270" s="53" t="s">
        <v>460</v>
      </c>
      <c r="D270" s="52" t="s">
        <v>492</v>
      </c>
      <c r="E270" s="52" t="s">
        <v>540</v>
      </c>
      <c r="F270" s="52" t="s">
        <v>235</v>
      </c>
      <c r="G270" s="35" t="str">
        <f t="shared" si="12"/>
        <v>LATE</v>
      </c>
      <c r="H270" s="37">
        <f t="shared" si="13"/>
        <v>0.2722222222222222</v>
      </c>
      <c r="I270" s="38" t="str">
        <f t="shared" si="14"/>
        <v>NO OT</v>
      </c>
    </row>
    <row r="271" spans="1:9" s="54" customFormat="1" hidden="1" x14ac:dyDescent="0.2">
      <c r="A271" s="35" t="s">
        <v>576</v>
      </c>
      <c r="B271" s="36">
        <v>46164</v>
      </c>
      <c r="C271" s="53" t="s">
        <v>461</v>
      </c>
      <c r="D271" s="52" t="s">
        <v>670</v>
      </c>
      <c r="E271" s="52" t="s">
        <v>236</v>
      </c>
      <c r="F271" s="52" t="s">
        <v>481</v>
      </c>
      <c r="G271" s="35" t="str">
        <f t="shared" si="12"/>
        <v>LATE</v>
      </c>
      <c r="H271" s="37">
        <f t="shared" si="13"/>
        <v>0.26180555555555557</v>
      </c>
      <c r="I271" s="38" t="str">
        <f t="shared" si="14"/>
        <v>NO OT</v>
      </c>
    </row>
    <row r="272" spans="1:9" s="54" customFormat="1" hidden="1" x14ac:dyDescent="0.2">
      <c r="A272" s="35" t="s">
        <v>576</v>
      </c>
      <c r="B272" s="36">
        <v>46165</v>
      </c>
      <c r="C272" s="53" t="s">
        <v>463</v>
      </c>
      <c r="D272" s="52" t="s">
        <v>185</v>
      </c>
      <c r="E272" s="52" t="s">
        <v>434</v>
      </c>
      <c r="F272" s="52" t="s">
        <v>467</v>
      </c>
      <c r="G272" s="35" t="str">
        <f t="shared" si="12"/>
        <v>LATE</v>
      </c>
      <c r="H272" s="37">
        <f t="shared" si="13"/>
        <v>0.27430555555555558</v>
      </c>
      <c r="I272" s="38" t="str">
        <f t="shared" si="14"/>
        <v>NO OT</v>
      </c>
    </row>
    <row r="273" spans="1:9" s="54" customFormat="1" hidden="1" x14ac:dyDescent="0.2">
      <c r="A273" s="35" t="s">
        <v>576</v>
      </c>
      <c r="B273" s="36">
        <v>46166</v>
      </c>
      <c r="C273" s="55" t="s">
        <v>456</v>
      </c>
      <c r="D273" s="52"/>
      <c r="E273" s="52"/>
      <c r="F273" s="52"/>
      <c r="G273" s="55" t="str">
        <f t="shared" si="12"/>
        <v>SUNDAY</v>
      </c>
      <c r="H273" s="37">
        <f t="shared" si="13"/>
        <v>0</v>
      </c>
      <c r="I273" s="38" t="str">
        <f t="shared" si="14"/>
        <v>NO OT</v>
      </c>
    </row>
    <row r="274" spans="1:9" s="54" customFormat="1" hidden="1" x14ac:dyDescent="0.2">
      <c r="A274" s="35" t="s">
        <v>576</v>
      </c>
      <c r="B274" s="36">
        <v>46167</v>
      </c>
      <c r="C274" s="53" t="s">
        <v>457</v>
      </c>
      <c r="D274" s="52" t="s">
        <v>183</v>
      </c>
      <c r="E274" s="52" t="s">
        <v>519</v>
      </c>
      <c r="F274" s="52" t="s">
        <v>467</v>
      </c>
      <c r="G274" s="35" t="str">
        <f t="shared" si="12"/>
        <v>LATE</v>
      </c>
      <c r="H274" s="37">
        <f t="shared" si="13"/>
        <v>0.27430555555555552</v>
      </c>
      <c r="I274" s="38" t="str">
        <f t="shared" si="14"/>
        <v>NO OT</v>
      </c>
    </row>
    <row r="275" spans="1:9" s="54" customFormat="1" hidden="1" x14ac:dyDescent="0.2">
      <c r="A275" s="35" t="s">
        <v>576</v>
      </c>
      <c r="B275" s="36">
        <v>46168</v>
      </c>
      <c r="C275" s="53" t="s">
        <v>458</v>
      </c>
      <c r="D275" s="52" t="s">
        <v>184</v>
      </c>
      <c r="E275" s="52" t="s">
        <v>12</v>
      </c>
      <c r="F275" s="52" t="s">
        <v>188</v>
      </c>
      <c r="G275" s="35" t="str">
        <f t="shared" si="12"/>
        <v>LATE</v>
      </c>
      <c r="H275" s="37">
        <f t="shared" si="13"/>
        <v>-0.47291666666666665</v>
      </c>
      <c r="I275" s="38" t="str">
        <f t="shared" si="14"/>
        <v>NO OT</v>
      </c>
    </row>
    <row r="276" spans="1:9" s="54" customFormat="1" hidden="1" x14ac:dyDescent="0.2">
      <c r="A276" s="35" t="s">
        <v>576</v>
      </c>
      <c r="B276" s="36">
        <v>46169</v>
      </c>
      <c r="C276" s="53" t="s">
        <v>459</v>
      </c>
      <c r="D276" s="52" t="s">
        <v>163</v>
      </c>
      <c r="E276" s="52" t="s">
        <v>12</v>
      </c>
      <c r="F276" s="52" t="s">
        <v>188</v>
      </c>
      <c r="G276" s="35" t="str">
        <f t="shared" si="12"/>
        <v>LATE</v>
      </c>
      <c r="H276" s="37">
        <f t="shared" si="13"/>
        <v>-0.47152777777777777</v>
      </c>
      <c r="I276" s="38" t="str">
        <f t="shared" si="14"/>
        <v>NO OT</v>
      </c>
    </row>
    <row r="277" spans="1:9" s="54" customFormat="1" hidden="1" x14ac:dyDescent="0.2">
      <c r="A277" s="35" t="s">
        <v>576</v>
      </c>
      <c r="B277" s="36">
        <v>46170</v>
      </c>
      <c r="C277" s="53" t="s">
        <v>460</v>
      </c>
      <c r="D277" s="52"/>
      <c r="E277" s="52"/>
      <c r="F277" s="52"/>
      <c r="G277" s="55" t="s">
        <v>721</v>
      </c>
      <c r="H277" s="37">
        <f t="shared" si="13"/>
        <v>0</v>
      </c>
      <c r="I277" s="38" t="str">
        <f t="shared" si="14"/>
        <v>NO OT</v>
      </c>
    </row>
    <row r="278" spans="1:9" s="54" customFormat="1" hidden="1" x14ac:dyDescent="0.2">
      <c r="A278" s="35" t="s">
        <v>576</v>
      </c>
      <c r="B278" s="36">
        <v>46171</v>
      </c>
      <c r="C278" s="53" t="s">
        <v>461</v>
      </c>
      <c r="D278" s="52" t="s">
        <v>137</v>
      </c>
      <c r="E278" s="52" t="s">
        <v>717</v>
      </c>
      <c r="F278" s="52" t="s">
        <v>431</v>
      </c>
      <c r="G278" s="35" t="str">
        <f t="shared" si="12"/>
        <v>LATE</v>
      </c>
      <c r="H278" s="37">
        <f t="shared" si="13"/>
        <v>0.2256944444444445</v>
      </c>
      <c r="I278" s="38" t="str">
        <f t="shared" si="14"/>
        <v>NO OT</v>
      </c>
    </row>
    <row r="279" spans="1:9" s="54" customFormat="1" hidden="1" x14ac:dyDescent="0.2">
      <c r="A279" s="35" t="s">
        <v>576</v>
      </c>
      <c r="B279" s="36">
        <v>46172</v>
      </c>
      <c r="C279" s="53" t="s">
        <v>463</v>
      </c>
      <c r="D279" s="52" t="s">
        <v>182</v>
      </c>
      <c r="E279" s="52" t="s">
        <v>718</v>
      </c>
      <c r="F279" s="52" t="s">
        <v>580</v>
      </c>
      <c r="G279" s="35" t="str">
        <f t="shared" si="12"/>
        <v>LATE</v>
      </c>
      <c r="H279" s="37">
        <f t="shared" si="13"/>
        <v>0.24097222222222228</v>
      </c>
      <c r="I279" s="38" t="str">
        <f t="shared" si="14"/>
        <v>NO OT</v>
      </c>
    </row>
    <row r="280" spans="1:9" s="54" customFormat="1" hidden="1" x14ac:dyDescent="0.2">
      <c r="A280" s="35" t="s">
        <v>576</v>
      </c>
      <c r="B280" s="36">
        <v>46173</v>
      </c>
      <c r="C280" s="55" t="s">
        <v>456</v>
      </c>
      <c r="D280" s="52"/>
      <c r="E280" s="52"/>
      <c r="F280" s="52"/>
      <c r="G280" s="55" t="str">
        <f t="shared" si="12"/>
        <v>SUNDAY</v>
      </c>
      <c r="H280" s="37">
        <f t="shared" si="13"/>
        <v>0</v>
      </c>
      <c r="I280" s="38" t="str">
        <f t="shared" si="14"/>
        <v>NO OT</v>
      </c>
    </row>
    <row r="281" spans="1:9" s="54" customFormat="1" hidden="1" x14ac:dyDescent="0.2">
      <c r="A281" s="35" t="s">
        <v>588</v>
      </c>
      <c r="B281" s="36">
        <v>46143</v>
      </c>
      <c r="C281" s="53" t="s">
        <v>461</v>
      </c>
      <c r="D281" s="52" t="s">
        <v>256</v>
      </c>
      <c r="E281" s="52" t="s">
        <v>212</v>
      </c>
      <c r="F281" s="52" t="s">
        <v>369</v>
      </c>
      <c r="G281" s="35" t="str">
        <f t="shared" si="12"/>
        <v>OK</v>
      </c>
      <c r="H281" s="37">
        <f t="shared" si="13"/>
        <v>0.33194444444444432</v>
      </c>
      <c r="I281" s="38" t="str">
        <f t="shared" si="14"/>
        <v>NO OT</v>
      </c>
    </row>
    <row r="282" spans="1:9" s="54" customFormat="1" hidden="1" x14ac:dyDescent="0.2">
      <c r="A282" s="35" t="s">
        <v>588</v>
      </c>
      <c r="B282" s="36">
        <v>46144</v>
      </c>
      <c r="C282" s="53" t="s">
        <v>463</v>
      </c>
      <c r="D282" s="52" t="s">
        <v>222</v>
      </c>
      <c r="E282" s="52" t="s">
        <v>209</v>
      </c>
      <c r="F282" s="52" t="s">
        <v>194</v>
      </c>
      <c r="G282" s="35" t="str">
        <f t="shared" si="12"/>
        <v>OK</v>
      </c>
      <c r="H282" s="37">
        <f t="shared" si="13"/>
        <v>0.32847222222222228</v>
      </c>
      <c r="I282" s="38" t="str">
        <f t="shared" si="14"/>
        <v>NO OT</v>
      </c>
    </row>
    <row r="283" spans="1:9" s="54" customFormat="1" hidden="1" x14ac:dyDescent="0.2">
      <c r="A283" s="35" t="s">
        <v>588</v>
      </c>
      <c r="B283" s="36">
        <v>46145</v>
      </c>
      <c r="C283" s="55" t="s">
        <v>456</v>
      </c>
      <c r="D283" s="52"/>
      <c r="E283" s="52"/>
      <c r="F283" s="52"/>
      <c r="G283" s="55" t="str">
        <f t="shared" si="12"/>
        <v>SUNDAY</v>
      </c>
      <c r="H283" s="37">
        <f t="shared" si="13"/>
        <v>0</v>
      </c>
      <c r="I283" s="38" t="str">
        <f t="shared" si="14"/>
        <v>NO OT</v>
      </c>
    </row>
    <row r="284" spans="1:9" s="54" customFormat="1" hidden="1" x14ac:dyDescent="0.2">
      <c r="A284" s="35" t="s">
        <v>588</v>
      </c>
      <c r="B284" s="36">
        <v>46146</v>
      </c>
      <c r="C284" s="53" t="s">
        <v>457</v>
      </c>
      <c r="D284" s="52" t="s">
        <v>219</v>
      </c>
      <c r="E284" s="52" t="s">
        <v>346</v>
      </c>
      <c r="F284" s="52" t="s">
        <v>252</v>
      </c>
      <c r="G284" s="35" t="str">
        <f t="shared" si="12"/>
        <v>OK</v>
      </c>
      <c r="H284" s="37">
        <f t="shared" si="13"/>
        <v>0.33680555555555552</v>
      </c>
      <c r="I284" s="38" t="str">
        <f t="shared" si="14"/>
        <v>NO OT</v>
      </c>
    </row>
    <row r="285" spans="1:9" s="54" customFormat="1" hidden="1" x14ac:dyDescent="0.2">
      <c r="A285" s="35" t="s">
        <v>588</v>
      </c>
      <c r="B285" s="36">
        <v>46147</v>
      </c>
      <c r="C285" s="53" t="s">
        <v>458</v>
      </c>
      <c r="D285" s="52" t="s">
        <v>502</v>
      </c>
      <c r="E285" s="52" t="s">
        <v>212</v>
      </c>
      <c r="F285" s="52" t="s">
        <v>619</v>
      </c>
      <c r="G285" s="35" t="str">
        <f t="shared" si="12"/>
        <v>OK</v>
      </c>
      <c r="H285" s="37">
        <f t="shared" si="13"/>
        <v>0.34236111111111101</v>
      </c>
      <c r="I285" s="38" t="str">
        <f t="shared" si="14"/>
        <v>NO OT</v>
      </c>
    </row>
    <row r="286" spans="1:9" s="54" customFormat="1" hidden="1" x14ac:dyDescent="0.2">
      <c r="A286" s="35" t="s">
        <v>588</v>
      </c>
      <c r="B286" s="36">
        <v>46148</v>
      </c>
      <c r="C286" s="53" t="s">
        <v>459</v>
      </c>
      <c r="D286" s="52" t="s">
        <v>258</v>
      </c>
      <c r="E286" s="52" t="s">
        <v>212</v>
      </c>
      <c r="F286" s="52" t="s">
        <v>294</v>
      </c>
      <c r="G286" s="35" t="str">
        <f t="shared" si="12"/>
        <v>OK</v>
      </c>
      <c r="H286" s="37">
        <f t="shared" si="13"/>
        <v>0.33611111111111103</v>
      </c>
      <c r="I286" s="38" t="str">
        <f t="shared" si="14"/>
        <v>NO OT</v>
      </c>
    </row>
    <row r="287" spans="1:9" s="54" customFormat="1" hidden="1" x14ac:dyDescent="0.2">
      <c r="A287" s="35" t="s">
        <v>588</v>
      </c>
      <c r="B287" s="36">
        <v>46149</v>
      </c>
      <c r="C287" s="53" t="s">
        <v>460</v>
      </c>
      <c r="D287" s="52" t="s">
        <v>357</v>
      </c>
      <c r="E287" s="52" t="s">
        <v>212</v>
      </c>
      <c r="F287" s="52" t="s">
        <v>612</v>
      </c>
      <c r="G287" s="35" t="str">
        <f t="shared" si="12"/>
        <v>OK</v>
      </c>
      <c r="H287" s="37">
        <f t="shared" si="13"/>
        <v>0.33819444444444435</v>
      </c>
      <c r="I287" s="38" t="str">
        <f t="shared" si="14"/>
        <v>NO OT</v>
      </c>
    </row>
    <row r="288" spans="1:9" s="54" customFormat="1" hidden="1" x14ac:dyDescent="0.2">
      <c r="A288" s="35" t="s">
        <v>588</v>
      </c>
      <c r="B288" s="36">
        <v>46150</v>
      </c>
      <c r="C288" s="53" t="s">
        <v>461</v>
      </c>
      <c r="D288" s="52" t="s">
        <v>282</v>
      </c>
      <c r="E288" s="52" t="s">
        <v>197</v>
      </c>
      <c r="F288" s="52" t="s">
        <v>248</v>
      </c>
      <c r="G288" s="35" t="str">
        <f t="shared" ref="G288:G311" si="15">IF(C288="Sunday", "SUNDAY", IF(OR(D288=0, D288="", D288="0:0"), "ABSENT", IF(MOD(D288,1) &gt; TIME(9,45,0), "LATE", "OK")))</f>
        <v>OK</v>
      </c>
      <c r="H288" s="37">
        <f t="shared" ref="H288:H311" si="16">IF(OR(D288=0, D288="", E288=0, E288=""), 0, (E288-D288)-TIME(1,0,0))</f>
        <v>0.33749999999999991</v>
      </c>
      <c r="I288" s="38" t="str">
        <f t="shared" si="14"/>
        <v>NO OT</v>
      </c>
    </row>
    <row r="289" spans="1:9" s="54" customFormat="1" hidden="1" x14ac:dyDescent="0.2">
      <c r="A289" s="35" t="s">
        <v>588</v>
      </c>
      <c r="B289" s="36">
        <v>46151</v>
      </c>
      <c r="C289" s="53" t="s">
        <v>463</v>
      </c>
      <c r="D289" s="52" t="s">
        <v>272</v>
      </c>
      <c r="E289" s="52" t="s">
        <v>356</v>
      </c>
      <c r="F289" s="52" t="s">
        <v>262</v>
      </c>
      <c r="G289" s="35" t="str">
        <f t="shared" si="15"/>
        <v>OK</v>
      </c>
      <c r="H289" s="37">
        <f t="shared" si="16"/>
        <v>0.32361111111111107</v>
      </c>
      <c r="I289" s="38" t="str">
        <f t="shared" si="14"/>
        <v>NO OT</v>
      </c>
    </row>
    <row r="290" spans="1:9" s="54" customFormat="1" hidden="1" x14ac:dyDescent="0.2">
      <c r="A290" s="35" t="s">
        <v>588</v>
      </c>
      <c r="B290" s="36">
        <v>46152</v>
      </c>
      <c r="C290" s="55" t="s">
        <v>456</v>
      </c>
      <c r="D290" s="52"/>
      <c r="E290" s="52"/>
      <c r="F290" s="52"/>
      <c r="G290" s="55" t="str">
        <f t="shared" si="15"/>
        <v>SUNDAY</v>
      </c>
      <c r="H290" s="37">
        <f t="shared" si="16"/>
        <v>0</v>
      </c>
      <c r="I290" s="38" t="str">
        <f t="shared" si="14"/>
        <v>NO OT</v>
      </c>
    </row>
    <row r="291" spans="1:9" s="54" customFormat="1" hidden="1" x14ac:dyDescent="0.2">
      <c r="A291" s="35" t="s">
        <v>588</v>
      </c>
      <c r="B291" s="36">
        <v>46153</v>
      </c>
      <c r="C291" s="53" t="s">
        <v>457</v>
      </c>
      <c r="D291" s="52" t="s">
        <v>364</v>
      </c>
      <c r="E291" s="52" t="s">
        <v>214</v>
      </c>
      <c r="F291" s="52" t="s">
        <v>301</v>
      </c>
      <c r="G291" s="35" t="str">
        <f t="shared" si="15"/>
        <v>OK</v>
      </c>
      <c r="H291" s="37">
        <f t="shared" si="16"/>
        <v>0.34305555555555545</v>
      </c>
      <c r="I291" s="38" t="str">
        <f t="shared" si="14"/>
        <v>NO OT</v>
      </c>
    </row>
    <row r="292" spans="1:9" s="54" customFormat="1" hidden="1" x14ac:dyDescent="0.2">
      <c r="A292" s="35" t="s">
        <v>588</v>
      </c>
      <c r="B292" s="36">
        <v>46154</v>
      </c>
      <c r="C292" s="53" t="s">
        <v>458</v>
      </c>
      <c r="D292" s="52" t="s">
        <v>282</v>
      </c>
      <c r="E292" s="52" t="s">
        <v>197</v>
      </c>
      <c r="F292" s="52" t="s">
        <v>248</v>
      </c>
      <c r="G292" s="35" t="str">
        <f t="shared" si="15"/>
        <v>OK</v>
      </c>
      <c r="H292" s="37">
        <f t="shared" si="16"/>
        <v>0.33749999999999991</v>
      </c>
      <c r="I292" s="38" t="str">
        <f t="shared" si="14"/>
        <v>NO OT</v>
      </c>
    </row>
    <row r="293" spans="1:9" s="54" customFormat="1" hidden="1" x14ac:dyDescent="0.2">
      <c r="A293" s="35" t="s">
        <v>588</v>
      </c>
      <c r="B293" s="36">
        <v>46155</v>
      </c>
      <c r="C293" s="53" t="s">
        <v>459</v>
      </c>
      <c r="D293" s="52" t="s">
        <v>360</v>
      </c>
      <c r="E293" s="52" t="s">
        <v>610</v>
      </c>
      <c r="F293" s="52" t="s">
        <v>284</v>
      </c>
      <c r="G293" s="35" t="str">
        <f t="shared" si="15"/>
        <v>OK</v>
      </c>
      <c r="H293" s="37">
        <f t="shared" si="16"/>
        <v>0.23611111111111113</v>
      </c>
      <c r="I293" s="38" t="str">
        <f t="shared" si="14"/>
        <v>NO OT</v>
      </c>
    </row>
    <row r="294" spans="1:9" s="54" customFormat="1" hidden="1" x14ac:dyDescent="0.2">
      <c r="A294" s="35" t="s">
        <v>588</v>
      </c>
      <c r="B294" s="36">
        <v>46156</v>
      </c>
      <c r="C294" s="53" t="s">
        <v>460</v>
      </c>
      <c r="D294" s="52" t="s">
        <v>12</v>
      </c>
      <c r="E294" s="52" t="s">
        <v>12</v>
      </c>
      <c r="F294" s="52" t="s">
        <v>12</v>
      </c>
      <c r="G294" s="55" t="str">
        <f t="shared" si="15"/>
        <v>ABSENT</v>
      </c>
      <c r="H294" s="37">
        <f t="shared" si="16"/>
        <v>-4.1666666666666664E-2</v>
      </c>
      <c r="I294" s="38" t="str">
        <f t="shared" si="14"/>
        <v>NO OT</v>
      </c>
    </row>
    <row r="295" spans="1:9" s="54" customFormat="1" hidden="1" x14ac:dyDescent="0.2">
      <c r="A295" s="35" t="s">
        <v>588</v>
      </c>
      <c r="B295" s="36">
        <v>46157</v>
      </c>
      <c r="C295" s="53" t="s">
        <v>461</v>
      </c>
      <c r="D295" s="52" t="s">
        <v>189</v>
      </c>
      <c r="E295" s="52" t="s">
        <v>209</v>
      </c>
      <c r="F295" s="52" t="s">
        <v>372</v>
      </c>
      <c r="G295" s="35" t="str">
        <f t="shared" si="15"/>
        <v>OK</v>
      </c>
      <c r="H295" s="37">
        <f t="shared" si="16"/>
        <v>0.32708333333333339</v>
      </c>
      <c r="I295" s="38" t="str">
        <f t="shared" si="14"/>
        <v>NO OT</v>
      </c>
    </row>
    <row r="296" spans="1:9" s="54" customFormat="1" hidden="1" x14ac:dyDescent="0.2">
      <c r="A296" s="35" t="s">
        <v>588</v>
      </c>
      <c r="B296" s="36">
        <v>46158</v>
      </c>
      <c r="C296" s="53" t="s">
        <v>463</v>
      </c>
      <c r="D296" s="52" t="s">
        <v>502</v>
      </c>
      <c r="E296" s="52" t="s">
        <v>225</v>
      </c>
      <c r="F296" s="52" t="s">
        <v>294</v>
      </c>
      <c r="G296" s="35" t="str">
        <f t="shared" si="15"/>
        <v>OK</v>
      </c>
      <c r="H296" s="37">
        <f t="shared" si="16"/>
        <v>0.33611111111111114</v>
      </c>
      <c r="I296" s="38" t="str">
        <f t="shared" si="14"/>
        <v>NO OT</v>
      </c>
    </row>
    <row r="297" spans="1:9" s="54" customFormat="1" hidden="1" x14ac:dyDescent="0.2">
      <c r="A297" s="35" t="s">
        <v>588</v>
      </c>
      <c r="B297" s="36">
        <v>46159</v>
      </c>
      <c r="C297" s="55" t="s">
        <v>456</v>
      </c>
      <c r="D297" s="52"/>
      <c r="E297" s="52"/>
      <c r="F297" s="52"/>
      <c r="G297" s="55" t="str">
        <f t="shared" si="15"/>
        <v>SUNDAY</v>
      </c>
      <c r="H297" s="37">
        <f t="shared" si="16"/>
        <v>0</v>
      </c>
      <c r="I297" s="38" t="str">
        <f t="shared" si="14"/>
        <v>NO OT</v>
      </c>
    </row>
    <row r="298" spans="1:9" s="54" customFormat="1" hidden="1" x14ac:dyDescent="0.2">
      <c r="A298" s="35" t="s">
        <v>588</v>
      </c>
      <c r="B298" s="36">
        <v>46160</v>
      </c>
      <c r="C298" s="53" t="s">
        <v>457</v>
      </c>
      <c r="D298" s="52" t="s">
        <v>474</v>
      </c>
      <c r="E298" s="52" t="s">
        <v>719</v>
      </c>
      <c r="F298" s="52" t="s">
        <v>706</v>
      </c>
      <c r="G298" s="35" t="str">
        <f t="shared" si="15"/>
        <v>OK</v>
      </c>
      <c r="H298" s="37">
        <f t="shared" si="16"/>
        <v>0.37569444444444444</v>
      </c>
      <c r="I298" s="48" t="str">
        <f t="shared" si="14"/>
        <v>00:18</v>
      </c>
    </row>
    <row r="299" spans="1:9" s="54" customFormat="1" hidden="1" x14ac:dyDescent="0.2">
      <c r="A299" s="35" t="s">
        <v>588</v>
      </c>
      <c r="B299" s="36">
        <v>46161</v>
      </c>
      <c r="C299" s="53" t="s">
        <v>458</v>
      </c>
      <c r="D299" s="52" t="s">
        <v>502</v>
      </c>
      <c r="E299" s="52" t="s">
        <v>376</v>
      </c>
      <c r="F299" s="52" t="s">
        <v>654</v>
      </c>
      <c r="G299" s="35" t="str">
        <f t="shared" si="15"/>
        <v>OK</v>
      </c>
      <c r="H299" s="37">
        <f t="shared" si="16"/>
        <v>0.35555555555555551</v>
      </c>
      <c r="I299" s="38" t="str">
        <f t="shared" si="14"/>
        <v>NO OT</v>
      </c>
    </row>
    <row r="300" spans="1:9" s="54" customFormat="1" hidden="1" x14ac:dyDescent="0.2">
      <c r="A300" s="35" t="s">
        <v>588</v>
      </c>
      <c r="B300" s="36">
        <v>46162</v>
      </c>
      <c r="C300" s="53" t="s">
        <v>459</v>
      </c>
      <c r="D300" s="52" t="s">
        <v>12</v>
      </c>
      <c r="E300" s="52" t="s">
        <v>12</v>
      </c>
      <c r="F300" s="52" t="s">
        <v>12</v>
      </c>
      <c r="G300" s="55" t="str">
        <f t="shared" si="15"/>
        <v>ABSENT</v>
      </c>
      <c r="H300" s="37">
        <f t="shared" si="16"/>
        <v>-4.1666666666666664E-2</v>
      </c>
      <c r="I300" s="38" t="str">
        <f t="shared" si="14"/>
        <v>NO OT</v>
      </c>
    </row>
    <row r="301" spans="1:9" s="54" customFormat="1" hidden="1" x14ac:dyDescent="0.2">
      <c r="A301" s="35" t="s">
        <v>588</v>
      </c>
      <c r="B301" s="36">
        <v>46163</v>
      </c>
      <c r="C301" s="53" t="s">
        <v>460</v>
      </c>
      <c r="D301" s="52" t="s">
        <v>288</v>
      </c>
      <c r="E301" s="52" t="s">
        <v>220</v>
      </c>
      <c r="F301" s="52" t="s">
        <v>520</v>
      </c>
      <c r="G301" s="35" t="str">
        <f t="shared" si="15"/>
        <v>OK</v>
      </c>
      <c r="H301" s="37">
        <f t="shared" si="16"/>
        <v>0.34513888888888888</v>
      </c>
      <c r="I301" s="38" t="str">
        <f t="shared" si="14"/>
        <v>NO OT</v>
      </c>
    </row>
    <row r="302" spans="1:9" s="54" customFormat="1" hidden="1" x14ac:dyDescent="0.2">
      <c r="A302" s="35" t="s">
        <v>588</v>
      </c>
      <c r="B302" s="36">
        <v>46164</v>
      </c>
      <c r="C302" s="53" t="s">
        <v>461</v>
      </c>
      <c r="D302" s="52" t="s">
        <v>554</v>
      </c>
      <c r="E302" s="52" t="s">
        <v>220</v>
      </c>
      <c r="F302" s="52" t="s">
        <v>642</v>
      </c>
      <c r="G302" s="35" t="str">
        <f t="shared" si="15"/>
        <v>OK</v>
      </c>
      <c r="H302" s="37">
        <f t="shared" si="16"/>
        <v>0.3569444444444444</v>
      </c>
      <c r="I302" s="38" t="str">
        <f t="shared" si="14"/>
        <v>NO OT</v>
      </c>
    </row>
    <row r="303" spans="1:9" s="54" customFormat="1" hidden="1" x14ac:dyDescent="0.2">
      <c r="A303" s="35" t="s">
        <v>588</v>
      </c>
      <c r="B303" s="36">
        <v>46165</v>
      </c>
      <c r="C303" s="53" t="s">
        <v>463</v>
      </c>
      <c r="D303" s="52" t="s">
        <v>272</v>
      </c>
      <c r="E303" s="52" t="s">
        <v>303</v>
      </c>
      <c r="F303" s="52" t="s">
        <v>369</v>
      </c>
      <c r="G303" s="35" t="str">
        <f t="shared" si="15"/>
        <v>OK</v>
      </c>
      <c r="H303" s="37">
        <f t="shared" si="16"/>
        <v>0.33194444444444438</v>
      </c>
      <c r="I303" s="38" t="str">
        <f t="shared" si="14"/>
        <v>NO OT</v>
      </c>
    </row>
    <row r="304" spans="1:9" s="54" customFormat="1" hidden="1" x14ac:dyDescent="0.2">
      <c r="A304" s="35" t="s">
        <v>588</v>
      </c>
      <c r="B304" s="36">
        <v>46166</v>
      </c>
      <c r="C304" s="55" t="s">
        <v>456</v>
      </c>
      <c r="D304" s="52"/>
      <c r="E304" s="52"/>
      <c r="F304" s="52"/>
      <c r="G304" s="55" t="str">
        <f t="shared" si="15"/>
        <v>SUNDAY</v>
      </c>
      <c r="H304" s="37">
        <f t="shared" si="16"/>
        <v>0</v>
      </c>
      <c r="I304" s="38" t="str">
        <f t="shared" si="14"/>
        <v>NO OT</v>
      </c>
    </row>
    <row r="305" spans="1:9" s="54" customFormat="1" hidden="1" x14ac:dyDescent="0.2">
      <c r="A305" s="35" t="s">
        <v>588</v>
      </c>
      <c r="B305" s="36">
        <v>46167</v>
      </c>
      <c r="C305" s="53" t="s">
        <v>457</v>
      </c>
      <c r="D305" s="52" t="s">
        <v>288</v>
      </c>
      <c r="E305" s="52" t="s">
        <v>214</v>
      </c>
      <c r="F305" s="52" t="s">
        <v>612</v>
      </c>
      <c r="G305" s="35" t="str">
        <f t="shared" si="15"/>
        <v>OK</v>
      </c>
      <c r="H305" s="37">
        <f t="shared" si="16"/>
        <v>0.33819444444444435</v>
      </c>
      <c r="I305" s="38" t="str">
        <f t="shared" si="14"/>
        <v>NO OT</v>
      </c>
    </row>
    <row r="306" spans="1:9" s="54" customFormat="1" hidden="1" x14ac:dyDescent="0.2">
      <c r="A306" s="35" t="s">
        <v>588</v>
      </c>
      <c r="B306" s="36">
        <v>46168</v>
      </c>
      <c r="C306" s="53" t="s">
        <v>458</v>
      </c>
      <c r="D306" s="52" t="s">
        <v>403</v>
      </c>
      <c r="E306" s="52" t="s">
        <v>333</v>
      </c>
      <c r="F306" s="52" t="s">
        <v>449</v>
      </c>
      <c r="G306" s="35" t="str">
        <f t="shared" si="15"/>
        <v>OK</v>
      </c>
      <c r="H306" s="37">
        <f t="shared" si="16"/>
        <v>0.34375</v>
      </c>
      <c r="I306" s="38" t="str">
        <f t="shared" si="14"/>
        <v>NO OT</v>
      </c>
    </row>
    <row r="307" spans="1:9" s="54" customFormat="1" hidden="1" x14ac:dyDescent="0.2">
      <c r="A307" s="35" t="s">
        <v>588</v>
      </c>
      <c r="B307" s="36">
        <v>46169</v>
      </c>
      <c r="C307" s="53" t="s">
        <v>459</v>
      </c>
      <c r="D307" s="52" t="s">
        <v>502</v>
      </c>
      <c r="E307" s="52" t="s">
        <v>720</v>
      </c>
      <c r="F307" s="52" t="s">
        <v>571</v>
      </c>
      <c r="G307" s="35" t="str">
        <f t="shared" si="15"/>
        <v>OK</v>
      </c>
      <c r="H307" s="37">
        <f t="shared" si="16"/>
        <v>0.37013888888888891</v>
      </c>
      <c r="I307" s="48" t="str">
        <f t="shared" si="14"/>
        <v>00:11</v>
      </c>
    </row>
    <row r="308" spans="1:9" s="54" customFormat="1" hidden="1" x14ac:dyDescent="0.2">
      <c r="A308" s="35" t="s">
        <v>588</v>
      </c>
      <c r="B308" s="36">
        <v>46170</v>
      </c>
      <c r="C308" s="53" t="s">
        <v>460</v>
      </c>
      <c r="D308" s="52"/>
      <c r="E308" s="52"/>
      <c r="F308" s="52"/>
      <c r="G308" s="55" t="s">
        <v>721</v>
      </c>
      <c r="H308" s="37">
        <f t="shared" si="16"/>
        <v>0</v>
      </c>
      <c r="I308" s="38" t="str">
        <f t="shared" si="14"/>
        <v>NO OT</v>
      </c>
    </row>
    <row r="309" spans="1:9" s="54" customFormat="1" hidden="1" x14ac:dyDescent="0.2">
      <c r="A309" s="35" t="s">
        <v>588</v>
      </c>
      <c r="B309" s="36">
        <v>46171</v>
      </c>
      <c r="C309" s="53" t="s">
        <v>461</v>
      </c>
      <c r="D309" s="52" t="s">
        <v>415</v>
      </c>
      <c r="E309" s="52" t="s">
        <v>277</v>
      </c>
      <c r="F309" s="52" t="s">
        <v>428</v>
      </c>
      <c r="G309" s="35" t="str">
        <f t="shared" si="15"/>
        <v>OK</v>
      </c>
      <c r="H309" s="37">
        <f t="shared" si="16"/>
        <v>0.28194444444444444</v>
      </c>
      <c r="I309" s="38" t="str">
        <f t="shared" si="14"/>
        <v>NO OT</v>
      </c>
    </row>
    <row r="310" spans="1:9" s="54" customFormat="1" hidden="1" x14ac:dyDescent="0.2">
      <c r="A310" s="35" t="s">
        <v>588</v>
      </c>
      <c r="B310" s="36">
        <v>46172</v>
      </c>
      <c r="C310" s="53" t="s">
        <v>463</v>
      </c>
      <c r="D310" s="52" t="s">
        <v>260</v>
      </c>
      <c r="E310" s="52" t="s">
        <v>193</v>
      </c>
      <c r="F310" s="52" t="s">
        <v>622</v>
      </c>
      <c r="G310" s="35" t="str">
        <f t="shared" si="15"/>
        <v>OK</v>
      </c>
      <c r="H310" s="37">
        <f t="shared" si="16"/>
        <v>0.34166666666666667</v>
      </c>
      <c r="I310" s="38" t="str">
        <f t="shared" si="14"/>
        <v>NO OT</v>
      </c>
    </row>
    <row r="311" spans="1:9" s="54" customFormat="1" hidden="1" x14ac:dyDescent="0.2">
      <c r="A311" s="35" t="s">
        <v>588</v>
      </c>
      <c r="B311" s="36">
        <v>46173</v>
      </c>
      <c r="C311" s="55" t="s">
        <v>456</v>
      </c>
      <c r="D311" s="52"/>
      <c r="E311" s="52"/>
      <c r="F311" s="52"/>
      <c r="G311" s="55" t="str">
        <f t="shared" si="15"/>
        <v>SUNDAY</v>
      </c>
      <c r="H311" s="37">
        <f t="shared" si="16"/>
        <v>0</v>
      </c>
      <c r="I311" s="38" t="str">
        <f t="shared" si="14"/>
        <v>NO OT</v>
      </c>
    </row>
    <row r="312" spans="1:9" hidden="1" x14ac:dyDescent="0.2">
      <c r="B312" s="29">
        <v>46143</v>
      </c>
      <c r="C312" s="32" t="s">
        <v>461</v>
      </c>
    </row>
    <row r="313" spans="1:9" hidden="1" x14ac:dyDescent="0.2">
      <c r="B313" s="29">
        <v>46144</v>
      </c>
      <c r="C313" s="32" t="s">
        <v>463</v>
      </c>
    </row>
    <row r="314" spans="1:9" hidden="1" x14ac:dyDescent="0.2">
      <c r="B314" s="29">
        <v>46145</v>
      </c>
      <c r="C314" s="32" t="s">
        <v>456</v>
      </c>
    </row>
    <row r="315" spans="1:9" hidden="1" x14ac:dyDescent="0.2">
      <c r="B315" s="29">
        <v>46146</v>
      </c>
      <c r="C315" s="32" t="s">
        <v>457</v>
      </c>
    </row>
    <row r="316" spans="1:9" hidden="1" x14ac:dyDescent="0.2">
      <c r="B316" s="29">
        <v>46147</v>
      </c>
      <c r="C316" s="32" t="s">
        <v>458</v>
      </c>
    </row>
    <row r="317" spans="1:9" hidden="1" x14ac:dyDescent="0.2">
      <c r="B317" s="29">
        <v>46148</v>
      </c>
      <c r="C317" s="32" t="s">
        <v>459</v>
      </c>
    </row>
    <row r="318" spans="1:9" hidden="1" x14ac:dyDescent="0.2">
      <c r="B318" s="29">
        <v>46149</v>
      </c>
      <c r="C318" s="32" t="s">
        <v>460</v>
      </c>
    </row>
    <row r="319" spans="1:9" hidden="1" x14ac:dyDescent="0.2">
      <c r="B319" s="29">
        <v>46150</v>
      </c>
      <c r="C319" s="32" t="s">
        <v>461</v>
      </c>
    </row>
    <row r="320" spans="1:9" hidden="1" x14ac:dyDescent="0.2">
      <c r="B320" s="29">
        <v>46151</v>
      </c>
      <c r="C320" s="32" t="s">
        <v>463</v>
      </c>
    </row>
    <row r="321" spans="2:3" hidden="1" x14ac:dyDescent="0.2">
      <c r="B321" s="29">
        <v>46152</v>
      </c>
      <c r="C321" s="32" t="s">
        <v>456</v>
      </c>
    </row>
    <row r="322" spans="2:3" hidden="1" x14ac:dyDescent="0.2">
      <c r="B322" s="29">
        <v>46153</v>
      </c>
      <c r="C322" s="32" t="s">
        <v>457</v>
      </c>
    </row>
    <row r="323" spans="2:3" hidden="1" x14ac:dyDescent="0.2">
      <c r="B323" s="29">
        <v>46154</v>
      </c>
      <c r="C323" s="32" t="s">
        <v>458</v>
      </c>
    </row>
    <row r="324" spans="2:3" hidden="1" x14ac:dyDescent="0.2">
      <c r="B324" s="29">
        <v>46155</v>
      </c>
      <c r="C324" s="32" t="s">
        <v>459</v>
      </c>
    </row>
    <row r="325" spans="2:3" hidden="1" x14ac:dyDescent="0.2">
      <c r="B325" s="29">
        <v>46156</v>
      </c>
      <c r="C325" s="32" t="s">
        <v>460</v>
      </c>
    </row>
    <row r="326" spans="2:3" hidden="1" x14ac:dyDescent="0.2">
      <c r="B326" s="29">
        <v>46157</v>
      </c>
      <c r="C326" s="32" t="s">
        <v>461</v>
      </c>
    </row>
    <row r="327" spans="2:3" hidden="1" x14ac:dyDescent="0.2">
      <c r="B327" s="29">
        <v>46158</v>
      </c>
      <c r="C327" s="32" t="s">
        <v>463</v>
      </c>
    </row>
    <row r="328" spans="2:3" hidden="1" x14ac:dyDescent="0.2">
      <c r="B328" s="29">
        <v>46159</v>
      </c>
      <c r="C328" s="32" t="s">
        <v>456</v>
      </c>
    </row>
    <row r="329" spans="2:3" hidden="1" x14ac:dyDescent="0.2">
      <c r="B329" s="29">
        <v>46160</v>
      </c>
      <c r="C329" s="32" t="s">
        <v>457</v>
      </c>
    </row>
    <row r="330" spans="2:3" hidden="1" x14ac:dyDescent="0.2">
      <c r="B330" s="29">
        <v>46161</v>
      </c>
      <c r="C330" s="32" t="s">
        <v>458</v>
      </c>
    </row>
    <row r="331" spans="2:3" hidden="1" x14ac:dyDescent="0.2">
      <c r="B331" s="29">
        <v>46162</v>
      </c>
      <c r="C331" s="32" t="s">
        <v>459</v>
      </c>
    </row>
    <row r="332" spans="2:3" hidden="1" x14ac:dyDescent="0.2">
      <c r="B332" s="29">
        <v>46163</v>
      </c>
      <c r="C332" s="32" t="s">
        <v>460</v>
      </c>
    </row>
    <row r="333" spans="2:3" hidden="1" x14ac:dyDescent="0.2">
      <c r="B333" s="29">
        <v>46164</v>
      </c>
      <c r="C333" s="32" t="s">
        <v>461</v>
      </c>
    </row>
    <row r="334" spans="2:3" hidden="1" x14ac:dyDescent="0.2">
      <c r="B334" s="29">
        <v>46165</v>
      </c>
      <c r="C334" s="32" t="s">
        <v>463</v>
      </c>
    </row>
    <row r="335" spans="2:3" hidden="1" x14ac:dyDescent="0.2">
      <c r="B335" s="29">
        <v>46166</v>
      </c>
      <c r="C335" s="32" t="s">
        <v>456</v>
      </c>
    </row>
    <row r="336" spans="2:3" hidden="1" x14ac:dyDescent="0.2">
      <c r="B336" s="29">
        <v>46167</v>
      </c>
      <c r="C336" s="32" t="s">
        <v>457</v>
      </c>
    </row>
    <row r="337" spans="2:3" hidden="1" x14ac:dyDescent="0.2">
      <c r="B337" s="29">
        <v>46168</v>
      </c>
      <c r="C337" s="32" t="s">
        <v>458</v>
      </c>
    </row>
    <row r="338" spans="2:3" hidden="1" x14ac:dyDescent="0.2">
      <c r="B338" s="29">
        <v>46169</v>
      </c>
      <c r="C338" s="32" t="s">
        <v>459</v>
      </c>
    </row>
    <row r="339" spans="2:3" hidden="1" x14ac:dyDescent="0.2">
      <c r="B339" s="29">
        <v>46170</v>
      </c>
      <c r="C339" s="32" t="s">
        <v>460</v>
      </c>
    </row>
    <row r="340" spans="2:3" hidden="1" x14ac:dyDescent="0.2">
      <c r="B340" s="29">
        <v>46171</v>
      </c>
      <c r="C340" s="32" t="s">
        <v>461</v>
      </c>
    </row>
    <row r="341" spans="2:3" hidden="1" x14ac:dyDescent="0.2">
      <c r="B341" s="29">
        <v>46172</v>
      </c>
      <c r="C341" s="32" t="s">
        <v>463</v>
      </c>
    </row>
    <row r="342" spans="2:3" hidden="1" x14ac:dyDescent="0.2">
      <c r="B342" s="29">
        <v>46173</v>
      </c>
      <c r="C342" s="32" t="s">
        <v>456</v>
      </c>
    </row>
    <row r="343" spans="2:3" hidden="1" x14ac:dyDescent="0.2">
      <c r="B343" s="29">
        <v>46143</v>
      </c>
      <c r="C343" s="32" t="s">
        <v>461</v>
      </c>
    </row>
    <row r="344" spans="2:3" hidden="1" x14ac:dyDescent="0.2">
      <c r="B344" s="29">
        <v>46144</v>
      </c>
      <c r="C344" s="32" t="s">
        <v>463</v>
      </c>
    </row>
    <row r="345" spans="2:3" hidden="1" x14ac:dyDescent="0.2">
      <c r="B345" s="29">
        <v>46145</v>
      </c>
      <c r="C345" s="32" t="s">
        <v>456</v>
      </c>
    </row>
    <row r="346" spans="2:3" hidden="1" x14ac:dyDescent="0.2">
      <c r="B346" s="29">
        <v>46146</v>
      </c>
      <c r="C346" s="32" t="s">
        <v>457</v>
      </c>
    </row>
    <row r="347" spans="2:3" hidden="1" x14ac:dyDescent="0.2">
      <c r="B347" s="29">
        <v>46147</v>
      </c>
      <c r="C347" s="32" t="s">
        <v>458</v>
      </c>
    </row>
    <row r="348" spans="2:3" hidden="1" x14ac:dyDescent="0.2">
      <c r="B348" s="29">
        <v>46148</v>
      </c>
      <c r="C348" s="32" t="s">
        <v>459</v>
      </c>
    </row>
    <row r="349" spans="2:3" hidden="1" x14ac:dyDescent="0.2">
      <c r="B349" s="29">
        <v>46149</v>
      </c>
      <c r="C349" s="32" t="s">
        <v>460</v>
      </c>
    </row>
    <row r="350" spans="2:3" hidden="1" x14ac:dyDescent="0.2">
      <c r="B350" s="29">
        <v>46150</v>
      </c>
      <c r="C350" s="32" t="s">
        <v>461</v>
      </c>
    </row>
    <row r="351" spans="2:3" hidden="1" x14ac:dyDescent="0.2">
      <c r="B351" s="29">
        <v>46151</v>
      </c>
      <c r="C351" s="32" t="s">
        <v>463</v>
      </c>
    </row>
    <row r="352" spans="2:3" hidden="1" x14ac:dyDescent="0.2">
      <c r="B352" s="29">
        <v>46152</v>
      </c>
      <c r="C352" s="32" t="s">
        <v>456</v>
      </c>
    </row>
    <row r="353" spans="2:3" hidden="1" x14ac:dyDescent="0.2">
      <c r="B353" s="29">
        <v>46153</v>
      </c>
      <c r="C353" s="32" t="s">
        <v>457</v>
      </c>
    </row>
    <row r="354" spans="2:3" hidden="1" x14ac:dyDescent="0.2">
      <c r="B354" s="29">
        <v>46154</v>
      </c>
      <c r="C354" s="32" t="s">
        <v>458</v>
      </c>
    </row>
    <row r="355" spans="2:3" hidden="1" x14ac:dyDescent="0.2">
      <c r="B355" s="29">
        <v>46155</v>
      </c>
      <c r="C355" s="32" t="s">
        <v>459</v>
      </c>
    </row>
    <row r="356" spans="2:3" hidden="1" x14ac:dyDescent="0.2">
      <c r="B356" s="29">
        <v>46156</v>
      </c>
      <c r="C356" s="32" t="s">
        <v>460</v>
      </c>
    </row>
    <row r="357" spans="2:3" hidden="1" x14ac:dyDescent="0.2">
      <c r="B357" s="29">
        <v>46157</v>
      </c>
      <c r="C357" s="32" t="s">
        <v>461</v>
      </c>
    </row>
    <row r="358" spans="2:3" hidden="1" x14ac:dyDescent="0.2">
      <c r="B358" s="29">
        <v>46158</v>
      </c>
      <c r="C358" s="32" t="s">
        <v>463</v>
      </c>
    </row>
    <row r="359" spans="2:3" hidden="1" x14ac:dyDescent="0.2">
      <c r="B359" s="29">
        <v>46159</v>
      </c>
      <c r="C359" s="32" t="s">
        <v>456</v>
      </c>
    </row>
    <row r="360" spans="2:3" hidden="1" x14ac:dyDescent="0.2">
      <c r="B360" s="29">
        <v>46160</v>
      </c>
      <c r="C360" s="32" t="s">
        <v>457</v>
      </c>
    </row>
    <row r="361" spans="2:3" hidden="1" x14ac:dyDescent="0.2">
      <c r="B361" s="29">
        <v>46161</v>
      </c>
      <c r="C361" s="32" t="s">
        <v>458</v>
      </c>
    </row>
    <row r="362" spans="2:3" hidden="1" x14ac:dyDescent="0.2">
      <c r="B362" s="29">
        <v>46162</v>
      </c>
      <c r="C362" s="32" t="s">
        <v>459</v>
      </c>
    </row>
    <row r="363" spans="2:3" hidden="1" x14ac:dyDescent="0.2">
      <c r="B363" s="29">
        <v>46163</v>
      </c>
      <c r="C363" s="32" t="s">
        <v>460</v>
      </c>
    </row>
    <row r="364" spans="2:3" hidden="1" x14ac:dyDescent="0.2">
      <c r="B364" s="29">
        <v>46164</v>
      </c>
      <c r="C364" s="32" t="s">
        <v>461</v>
      </c>
    </row>
    <row r="365" spans="2:3" hidden="1" x14ac:dyDescent="0.2">
      <c r="B365" s="29">
        <v>46165</v>
      </c>
      <c r="C365" s="32" t="s">
        <v>463</v>
      </c>
    </row>
    <row r="366" spans="2:3" hidden="1" x14ac:dyDescent="0.2">
      <c r="B366" s="29">
        <v>46166</v>
      </c>
      <c r="C366" s="32" t="s">
        <v>456</v>
      </c>
    </row>
    <row r="367" spans="2:3" hidden="1" x14ac:dyDescent="0.2">
      <c r="B367" s="29">
        <v>46167</v>
      </c>
      <c r="C367" s="32" t="s">
        <v>457</v>
      </c>
    </row>
    <row r="368" spans="2:3" hidden="1" x14ac:dyDescent="0.2">
      <c r="B368" s="29">
        <v>46168</v>
      </c>
      <c r="C368" s="32" t="s">
        <v>458</v>
      </c>
    </row>
    <row r="369" spans="2:3" hidden="1" x14ac:dyDescent="0.2">
      <c r="B369" s="29">
        <v>46169</v>
      </c>
      <c r="C369" s="32" t="s">
        <v>459</v>
      </c>
    </row>
    <row r="370" spans="2:3" hidden="1" x14ac:dyDescent="0.2">
      <c r="B370" s="29">
        <v>46170</v>
      </c>
      <c r="C370" s="32" t="s">
        <v>460</v>
      </c>
    </row>
    <row r="371" spans="2:3" hidden="1" x14ac:dyDescent="0.2">
      <c r="B371" s="29">
        <v>46171</v>
      </c>
      <c r="C371" s="32" t="s">
        <v>461</v>
      </c>
    </row>
    <row r="372" spans="2:3" hidden="1" x14ac:dyDescent="0.2">
      <c r="B372" s="29">
        <v>46172</v>
      </c>
      <c r="C372" s="32" t="s">
        <v>463</v>
      </c>
    </row>
    <row r="373" spans="2:3" hidden="1" x14ac:dyDescent="0.2">
      <c r="B373" s="29">
        <v>46173</v>
      </c>
      <c r="C373" s="32" t="s">
        <v>456</v>
      </c>
    </row>
    <row r="374" spans="2:3" hidden="1" x14ac:dyDescent="0.2">
      <c r="B374" s="29">
        <v>46143</v>
      </c>
      <c r="C374" s="32" t="s">
        <v>461</v>
      </c>
    </row>
    <row r="375" spans="2:3" hidden="1" x14ac:dyDescent="0.2">
      <c r="B375" s="29">
        <v>46144</v>
      </c>
      <c r="C375" s="32" t="s">
        <v>463</v>
      </c>
    </row>
    <row r="376" spans="2:3" hidden="1" x14ac:dyDescent="0.2">
      <c r="B376" s="29">
        <v>46145</v>
      </c>
      <c r="C376" s="32" t="s">
        <v>456</v>
      </c>
    </row>
    <row r="377" spans="2:3" hidden="1" x14ac:dyDescent="0.2">
      <c r="B377" s="29">
        <v>46146</v>
      </c>
      <c r="C377" s="32" t="s">
        <v>457</v>
      </c>
    </row>
    <row r="378" spans="2:3" hidden="1" x14ac:dyDescent="0.2">
      <c r="B378" s="29">
        <v>46147</v>
      </c>
      <c r="C378" s="32" t="s">
        <v>458</v>
      </c>
    </row>
    <row r="379" spans="2:3" hidden="1" x14ac:dyDescent="0.2">
      <c r="B379" s="29">
        <v>46148</v>
      </c>
      <c r="C379" s="32" t="s">
        <v>459</v>
      </c>
    </row>
    <row r="380" spans="2:3" hidden="1" x14ac:dyDescent="0.2">
      <c r="B380" s="29">
        <v>46149</v>
      </c>
      <c r="C380" s="32" t="s">
        <v>460</v>
      </c>
    </row>
    <row r="381" spans="2:3" hidden="1" x14ac:dyDescent="0.2">
      <c r="B381" s="29">
        <v>46150</v>
      </c>
      <c r="C381" s="32" t="s">
        <v>461</v>
      </c>
    </row>
    <row r="382" spans="2:3" hidden="1" x14ac:dyDescent="0.2">
      <c r="B382" s="29">
        <v>46151</v>
      </c>
      <c r="C382" s="32" t="s">
        <v>463</v>
      </c>
    </row>
    <row r="383" spans="2:3" hidden="1" x14ac:dyDescent="0.2">
      <c r="B383" s="29">
        <v>46152</v>
      </c>
      <c r="C383" s="32" t="s">
        <v>456</v>
      </c>
    </row>
    <row r="384" spans="2:3" hidden="1" x14ac:dyDescent="0.2">
      <c r="B384" s="29">
        <v>46153</v>
      </c>
      <c r="C384" s="32" t="s">
        <v>457</v>
      </c>
    </row>
    <row r="385" spans="2:3" hidden="1" x14ac:dyDescent="0.2">
      <c r="B385" s="29">
        <v>46154</v>
      </c>
      <c r="C385" s="32" t="s">
        <v>458</v>
      </c>
    </row>
    <row r="386" spans="2:3" hidden="1" x14ac:dyDescent="0.2">
      <c r="B386" s="29">
        <v>46155</v>
      </c>
      <c r="C386" s="32" t="s">
        <v>459</v>
      </c>
    </row>
    <row r="387" spans="2:3" hidden="1" x14ac:dyDescent="0.2">
      <c r="B387" s="29">
        <v>46156</v>
      </c>
      <c r="C387" s="32" t="s">
        <v>460</v>
      </c>
    </row>
    <row r="388" spans="2:3" hidden="1" x14ac:dyDescent="0.2">
      <c r="B388" s="29">
        <v>46157</v>
      </c>
      <c r="C388" s="32" t="s">
        <v>461</v>
      </c>
    </row>
    <row r="389" spans="2:3" hidden="1" x14ac:dyDescent="0.2">
      <c r="B389" s="29">
        <v>46158</v>
      </c>
      <c r="C389" s="32" t="s">
        <v>463</v>
      </c>
    </row>
    <row r="390" spans="2:3" hidden="1" x14ac:dyDescent="0.2">
      <c r="B390" s="29">
        <v>46159</v>
      </c>
      <c r="C390" s="32" t="s">
        <v>456</v>
      </c>
    </row>
    <row r="391" spans="2:3" hidden="1" x14ac:dyDescent="0.2">
      <c r="B391" s="29">
        <v>46160</v>
      </c>
      <c r="C391" s="32" t="s">
        <v>457</v>
      </c>
    </row>
    <row r="392" spans="2:3" hidden="1" x14ac:dyDescent="0.2">
      <c r="B392" s="29">
        <v>46161</v>
      </c>
      <c r="C392" s="32" t="s">
        <v>458</v>
      </c>
    </row>
    <row r="393" spans="2:3" hidden="1" x14ac:dyDescent="0.2">
      <c r="B393" s="29">
        <v>46162</v>
      </c>
      <c r="C393" s="32" t="s">
        <v>459</v>
      </c>
    </row>
    <row r="394" spans="2:3" hidden="1" x14ac:dyDescent="0.2">
      <c r="B394" s="29">
        <v>46163</v>
      </c>
      <c r="C394" s="32" t="s">
        <v>460</v>
      </c>
    </row>
    <row r="395" spans="2:3" hidden="1" x14ac:dyDescent="0.2">
      <c r="B395" s="29">
        <v>46164</v>
      </c>
      <c r="C395" s="32" t="s">
        <v>461</v>
      </c>
    </row>
    <row r="396" spans="2:3" hidden="1" x14ac:dyDescent="0.2">
      <c r="B396" s="29">
        <v>46165</v>
      </c>
      <c r="C396" s="32" t="s">
        <v>463</v>
      </c>
    </row>
    <row r="397" spans="2:3" hidden="1" x14ac:dyDescent="0.2">
      <c r="B397" s="29">
        <v>46166</v>
      </c>
      <c r="C397" s="32" t="s">
        <v>456</v>
      </c>
    </row>
    <row r="398" spans="2:3" hidden="1" x14ac:dyDescent="0.2">
      <c r="B398" s="29">
        <v>46167</v>
      </c>
      <c r="C398" s="32" t="s">
        <v>457</v>
      </c>
    </row>
    <row r="399" spans="2:3" hidden="1" x14ac:dyDescent="0.2">
      <c r="B399" s="29">
        <v>46168</v>
      </c>
      <c r="C399" s="32" t="s">
        <v>458</v>
      </c>
    </row>
    <row r="400" spans="2:3" hidden="1" x14ac:dyDescent="0.2">
      <c r="B400" s="29">
        <v>46169</v>
      </c>
      <c r="C400" s="32" t="s">
        <v>459</v>
      </c>
    </row>
    <row r="401" spans="2:3" hidden="1" x14ac:dyDescent="0.2">
      <c r="B401" s="29">
        <v>46170</v>
      </c>
      <c r="C401" s="32" t="s">
        <v>460</v>
      </c>
    </row>
    <row r="402" spans="2:3" hidden="1" x14ac:dyDescent="0.2">
      <c r="B402" s="29">
        <v>46171</v>
      </c>
      <c r="C402" s="32" t="s">
        <v>461</v>
      </c>
    </row>
    <row r="403" spans="2:3" hidden="1" x14ac:dyDescent="0.2">
      <c r="B403" s="29">
        <v>46172</v>
      </c>
      <c r="C403" s="32" t="s">
        <v>463</v>
      </c>
    </row>
    <row r="404" spans="2:3" hidden="1" x14ac:dyDescent="0.2">
      <c r="B404" s="29">
        <v>46173</v>
      </c>
      <c r="C404" s="32" t="s">
        <v>456</v>
      </c>
    </row>
    <row r="405" spans="2:3" hidden="1" x14ac:dyDescent="0.2">
      <c r="B405" s="29">
        <v>46143</v>
      </c>
      <c r="C405" s="32" t="s">
        <v>461</v>
      </c>
    </row>
    <row r="406" spans="2:3" hidden="1" x14ac:dyDescent="0.2">
      <c r="B406" s="29">
        <v>46144</v>
      </c>
      <c r="C406" s="32" t="s">
        <v>463</v>
      </c>
    </row>
    <row r="407" spans="2:3" hidden="1" x14ac:dyDescent="0.2">
      <c r="B407" s="29">
        <v>46145</v>
      </c>
      <c r="C407" s="32" t="s">
        <v>456</v>
      </c>
    </row>
    <row r="408" spans="2:3" hidden="1" x14ac:dyDescent="0.2">
      <c r="B408" s="29">
        <v>46146</v>
      </c>
      <c r="C408" s="32" t="s">
        <v>457</v>
      </c>
    </row>
    <row r="409" spans="2:3" hidden="1" x14ac:dyDescent="0.2">
      <c r="B409" s="29">
        <v>46147</v>
      </c>
      <c r="C409" s="32" t="s">
        <v>458</v>
      </c>
    </row>
    <row r="410" spans="2:3" hidden="1" x14ac:dyDescent="0.2">
      <c r="B410" s="29">
        <v>46148</v>
      </c>
      <c r="C410" s="32" t="s">
        <v>459</v>
      </c>
    </row>
    <row r="411" spans="2:3" hidden="1" x14ac:dyDescent="0.2">
      <c r="B411" s="29">
        <v>46149</v>
      </c>
      <c r="C411" s="32" t="s">
        <v>460</v>
      </c>
    </row>
    <row r="412" spans="2:3" hidden="1" x14ac:dyDescent="0.2">
      <c r="B412" s="29">
        <v>46150</v>
      </c>
      <c r="C412" s="32" t="s">
        <v>461</v>
      </c>
    </row>
    <row r="413" spans="2:3" hidden="1" x14ac:dyDescent="0.2">
      <c r="B413" s="29">
        <v>46151</v>
      </c>
      <c r="C413" s="32" t="s">
        <v>463</v>
      </c>
    </row>
    <row r="414" spans="2:3" hidden="1" x14ac:dyDescent="0.2">
      <c r="B414" s="29">
        <v>46152</v>
      </c>
      <c r="C414" s="32" t="s">
        <v>456</v>
      </c>
    </row>
    <row r="415" spans="2:3" hidden="1" x14ac:dyDescent="0.2">
      <c r="B415" s="29">
        <v>46153</v>
      </c>
      <c r="C415" s="32" t="s">
        <v>457</v>
      </c>
    </row>
    <row r="416" spans="2:3" hidden="1" x14ac:dyDescent="0.2">
      <c r="B416" s="29">
        <v>46154</v>
      </c>
      <c r="C416" s="32" t="s">
        <v>458</v>
      </c>
    </row>
    <row r="417" spans="2:3" hidden="1" x14ac:dyDescent="0.2">
      <c r="B417" s="29">
        <v>46155</v>
      </c>
      <c r="C417" s="32" t="s">
        <v>459</v>
      </c>
    </row>
    <row r="418" spans="2:3" hidden="1" x14ac:dyDescent="0.2">
      <c r="B418" s="29">
        <v>46156</v>
      </c>
      <c r="C418" s="32" t="s">
        <v>460</v>
      </c>
    </row>
    <row r="419" spans="2:3" hidden="1" x14ac:dyDescent="0.2">
      <c r="B419" s="29">
        <v>46157</v>
      </c>
      <c r="C419" s="32" t="s">
        <v>461</v>
      </c>
    </row>
    <row r="420" spans="2:3" hidden="1" x14ac:dyDescent="0.2">
      <c r="B420" s="29">
        <v>46158</v>
      </c>
      <c r="C420" s="32" t="s">
        <v>463</v>
      </c>
    </row>
    <row r="421" spans="2:3" hidden="1" x14ac:dyDescent="0.2">
      <c r="B421" s="29">
        <v>46159</v>
      </c>
      <c r="C421" s="32" t="s">
        <v>456</v>
      </c>
    </row>
    <row r="422" spans="2:3" hidden="1" x14ac:dyDescent="0.2">
      <c r="B422" s="29">
        <v>46160</v>
      </c>
      <c r="C422" s="32" t="s">
        <v>457</v>
      </c>
    </row>
    <row r="423" spans="2:3" hidden="1" x14ac:dyDescent="0.2">
      <c r="B423" s="29">
        <v>46161</v>
      </c>
      <c r="C423" s="32" t="s">
        <v>458</v>
      </c>
    </row>
    <row r="424" spans="2:3" hidden="1" x14ac:dyDescent="0.2">
      <c r="B424" s="29">
        <v>46162</v>
      </c>
      <c r="C424" s="32" t="s">
        <v>459</v>
      </c>
    </row>
    <row r="425" spans="2:3" hidden="1" x14ac:dyDescent="0.2">
      <c r="B425" s="29">
        <v>46163</v>
      </c>
      <c r="C425" s="32" t="s">
        <v>460</v>
      </c>
    </row>
    <row r="426" spans="2:3" hidden="1" x14ac:dyDescent="0.2">
      <c r="B426" s="29">
        <v>46164</v>
      </c>
      <c r="C426" s="32" t="s">
        <v>461</v>
      </c>
    </row>
    <row r="427" spans="2:3" hidden="1" x14ac:dyDescent="0.2">
      <c r="B427" s="29">
        <v>46165</v>
      </c>
      <c r="C427" s="32" t="s">
        <v>463</v>
      </c>
    </row>
    <row r="428" spans="2:3" hidden="1" x14ac:dyDescent="0.2">
      <c r="B428" s="29">
        <v>46166</v>
      </c>
      <c r="C428" s="32" t="s">
        <v>456</v>
      </c>
    </row>
    <row r="429" spans="2:3" hidden="1" x14ac:dyDescent="0.2">
      <c r="B429" s="29">
        <v>46167</v>
      </c>
      <c r="C429" s="32" t="s">
        <v>457</v>
      </c>
    </row>
    <row r="430" spans="2:3" hidden="1" x14ac:dyDescent="0.2">
      <c r="B430" s="29">
        <v>46168</v>
      </c>
      <c r="C430" s="32" t="s">
        <v>458</v>
      </c>
    </row>
    <row r="431" spans="2:3" hidden="1" x14ac:dyDescent="0.2">
      <c r="B431" s="29">
        <v>46169</v>
      </c>
      <c r="C431" s="32" t="s">
        <v>459</v>
      </c>
    </row>
    <row r="432" spans="2:3" hidden="1" x14ac:dyDescent="0.2">
      <c r="B432" s="29">
        <v>46170</v>
      </c>
      <c r="C432" s="32" t="s">
        <v>460</v>
      </c>
    </row>
    <row r="433" spans="2:3" hidden="1" x14ac:dyDescent="0.2">
      <c r="B433" s="29">
        <v>46171</v>
      </c>
      <c r="C433" s="32" t="s">
        <v>461</v>
      </c>
    </row>
    <row r="434" spans="2:3" hidden="1" x14ac:dyDescent="0.2">
      <c r="B434" s="29">
        <v>46172</v>
      </c>
      <c r="C434" s="32" t="s">
        <v>463</v>
      </c>
    </row>
    <row r="435" spans="2:3" hidden="1" x14ac:dyDescent="0.2">
      <c r="B435" s="29">
        <v>46173</v>
      </c>
      <c r="C435" s="32" t="s">
        <v>456</v>
      </c>
    </row>
    <row r="436" spans="2:3" hidden="1" x14ac:dyDescent="0.2">
      <c r="B436" s="29">
        <v>46143</v>
      </c>
      <c r="C436" s="32" t="s">
        <v>461</v>
      </c>
    </row>
    <row r="437" spans="2:3" hidden="1" x14ac:dyDescent="0.2">
      <c r="B437" s="29">
        <v>46144</v>
      </c>
      <c r="C437" s="32" t="s">
        <v>463</v>
      </c>
    </row>
    <row r="438" spans="2:3" hidden="1" x14ac:dyDescent="0.2">
      <c r="B438" s="29">
        <v>46145</v>
      </c>
      <c r="C438" s="32" t="s">
        <v>456</v>
      </c>
    </row>
    <row r="439" spans="2:3" hidden="1" x14ac:dyDescent="0.2">
      <c r="B439" s="29">
        <v>46146</v>
      </c>
      <c r="C439" s="32" t="s">
        <v>457</v>
      </c>
    </row>
    <row r="440" spans="2:3" hidden="1" x14ac:dyDescent="0.2">
      <c r="B440" s="29">
        <v>46147</v>
      </c>
      <c r="C440" s="32" t="s">
        <v>458</v>
      </c>
    </row>
    <row r="441" spans="2:3" hidden="1" x14ac:dyDescent="0.2">
      <c r="B441" s="29">
        <v>46148</v>
      </c>
      <c r="C441" s="32" t="s">
        <v>459</v>
      </c>
    </row>
    <row r="442" spans="2:3" hidden="1" x14ac:dyDescent="0.2">
      <c r="B442" s="29">
        <v>46149</v>
      </c>
      <c r="C442" s="32" t="s">
        <v>460</v>
      </c>
    </row>
    <row r="443" spans="2:3" hidden="1" x14ac:dyDescent="0.2">
      <c r="B443" s="29">
        <v>46150</v>
      </c>
      <c r="C443" s="32" t="s">
        <v>461</v>
      </c>
    </row>
    <row r="444" spans="2:3" hidden="1" x14ac:dyDescent="0.2">
      <c r="B444" s="29">
        <v>46151</v>
      </c>
      <c r="C444" s="32" t="s">
        <v>463</v>
      </c>
    </row>
    <row r="445" spans="2:3" hidden="1" x14ac:dyDescent="0.2">
      <c r="B445" s="29">
        <v>46152</v>
      </c>
      <c r="C445" s="32" t="s">
        <v>456</v>
      </c>
    </row>
    <row r="446" spans="2:3" hidden="1" x14ac:dyDescent="0.2">
      <c r="B446" s="29">
        <v>46153</v>
      </c>
      <c r="C446" s="32" t="s">
        <v>457</v>
      </c>
    </row>
    <row r="447" spans="2:3" hidden="1" x14ac:dyDescent="0.2">
      <c r="B447" s="29">
        <v>46154</v>
      </c>
      <c r="C447" s="32" t="s">
        <v>458</v>
      </c>
    </row>
    <row r="448" spans="2:3" hidden="1" x14ac:dyDescent="0.2">
      <c r="B448" s="29">
        <v>46155</v>
      </c>
      <c r="C448" s="32" t="s">
        <v>459</v>
      </c>
    </row>
    <row r="449" spans="2:3" hidden="1" x14ac:dyDescent="0.2">
      <c r="B449" s="29">
        <v>46156</v>
      </c>
      <c r="C449" s="32" t="s">
        <v>460</v>
      </c>
    </row>
    <row r="450" spans="2:3" hidden="1" x14ac:dyDescent="0.2">
      <c r="B450" s="29">
        <v>46157</v>
      </c>
      <c r="C450" s="32" t="s">
        <v>461</v>
      </c>
    </row>
    <row r="451" spans="2:3" hidden="1" x14ac:dyDescent="0.2">
      <c r="B451" s="29">
        <v>46158</v>
      </c>
      <c r="C451" s="32" t="s">
        <v>463</v>
      </c>
    </row>
    <row r="452" spans="2:3" hidden="1" x14ac:dyDescent="0.2">
      <c r="B452" s="29">
        <v>46159</v>
      </c>
      <c r="C452" s="32" t="s">
        <v>456</v>
      </c>
    </row>
    <row r="453" spans="2:3" hidden="1" x14ac:dyDescent="0.2">
      <c r="B453" s="29">
        <v>46160</v>
      </c>
      <c r="C453" s="32" t="s">
        <v>457</v>
      </c>
    </row>
    <row r="454" spans="2:3" hidden="1" x14ac:dyDescent="0.2">
      <c r="B454" s="29">
        <v>46161</v>
      </c>
      <c r="C454" s="32" t="s">
        <v>458</v>
      </c>
    </row>
    <row r="455" spans="2:3" hidden="1" x14ac:dyDescent="0.2">
      <c r="B455" s="29">
        <v>46162</v>
      </c>
      <c r="C455" s="32" t="s">
        <v>459</v>
      </c>
    </row>
    <row r="456" spans="2:3" hidden="1" x14ac:dyDescent="0.2">
      <c r="B456" s="29">
        <v>46163</v>
      </c>
      <c r="C456" s="32" t="s">
        <v>460</v>
      </c>
    </row>
    <row r="457" spans="2:3" hidden="1" x14ac:dyDescent="0.2">
      <c r="B457" s="29">
        <v>46164</v>
      </c>
      <c r="C457" s="32" t="s">
        <v>461</v>
      </c>
    </row>
    <row r="458" spans="2:3" hidden="1" x14ac:dyDescent="0.2">
      <c r="B458" s="29">
        <v>46165</v>
      </c>
      <c r="C458" s="32" t="s">
        <v>463</v>
      </c>
    </row>
    <row r="459" spans="2:3" hidden="1" x14ac:dyDescent="0.2">
      <c r="B459" s="29">
        <v>46166</v>
      </c>
      <c r="C459" s="32" t="s">
        <v>456</v>
      </c>
    </row>
    <row r="460" spans="2:3" hidden="1" x14ac:dyDescent="0.2">
      <c r="B460" s="29">
        <v>46167</v>
      </c>
      <c r="C460" s="32" t="s">
        <v>457</v>
      </c>
    </row>
    <row r="461" spans="2:3" hidden="1" x14ac:dyDescent="0.2">
      <c r="B461" s="29">
        <v>46168</v>
      </c>
      <c r="C461" s="32" t="s">
        <v>458</v>
      </c>
    </row>
    <row r="462" spans="2:3" hidden="1" x14ac:dyDescent="0.2">
      <c r="B462" s="29">
        <v>46169</v>
      </c>
      <c r="C462" s="32" t="s">
        <v>459</v>
      </c>
    </row>
    <row r="463" spans="2:3" hidden="1" x14ac:dyDescent="0.2">
      <c r="B463" s="29">
        <v>46170</v>
      </c>
      <c r="C463" s="32" t="s">
        <v>460</v>
      </c>
    </row>
    <row r="464" spans="2:3" hidden="1" x14ac:dyDescent="0.2">
      <c r="B464" s="29">
        <v>46171</v>
      </c>
      <c r="C464" s="32" t="s">
        <v>461</v>
      </c>
    </row>
    <row r="465" spans="2:3" hidden="1" x14ac:dyDescent="0.2">
      <c r="B465" s="29">
        <v>46172</v>
      </c>
      <c r="C465" s="32" t="s">
        <v>463</v>
      </c>
    </row>
    <row r="466" spans="2:3" hidden="1" x14ac:dyDescent="0.2">
      <c r="B466" s="29">
        <v>46173</v>
      </c>
      <c r="C466" s="32" t="s">
        <v>456</v>
      </c>
    </row>
    <row r="467" spans="2:3" hidden="1" x14ac:dyDescent="0.2">
      <c r="B467" s="29">
        <v>46143</v>
      </c>
      <c r="C467" s="32" t="s">
        <v>461</v>
      </c>
    </row>
    <row r="468" spans="2:3" hidden="1" x14ac:dyDescent="0.2">
      <c r="B468" s="29">
        <v>46144</v>
      </c>
      <c r="C468" s="32" t="s">
        <v>463</v>
      </c>
    </row>
    <row r="469" spans="2:3" hidden="1" x14ac:dyDescent="0.2">
      <c r="B469" s="29">
        <v>46145</v>
      </c>
      <c r="C469" s="32" t="s">
        <v>456</v>
      </c>
    </row>
    <row r="470" spans="2:3" hidden="1" x14ac:dyDescent="0.2">
      <c r="B470" s="29">
        <v>46146</v>
      </c>
      <c r="C470" s="32" t="s">
        <v>457</v>
      </c>
    </row>
    <row r="471" spans="2:3" hidden="1" x14ac:dyDescent="0.2">
      <c r="B471" s="29">
        <v>46147</v>
      </c>
      <c r="C471" s="32" t="s">
        <v>458</v>
      </c>
    </row>
    <row r="472" spans="2:3" hidden="1" x14ac:dyDescent="0.2">
      <c r="B472" s="29">
        <v>46148</v>
      </c>
      <c r="C472" s="32" t="s">
        <v>459</v>
      </c>
    </row>
    <row r="473" spans="2:3" hidden="1" x14ac:dyDescent="0.2">
      <c r="B473" s="29">
        <v>46149</v>
      </c>
      <c r="C473" s="32" t="s">
        <v>460</v>
      </c>
    </row>
    <row r="474" spans="2:3" hidden="1" x14ac:dyDescent="0.2">
      <c r="B474" s="29">
        <v>46150</v>
      </c>
      <c r="C474" s="32" t="s">
        <v>461</v>
      </c>
    </row>
    <row r="475" spans="2:3" hidden="1" x14ac:dyDescent="0.2">
      <c r="B475" s="29">
        <v>46151</v>
      </c>
      <c r="C475" s="32" t="s">
        <v>463</v>
      </c>
    </row>
    <row r="476" spans="2:3" hidden="1" x14ac:dyDescent="0.2">
      <c r="B476" s="29">
        <v>46152</v>
      </c>
      <c r="C476" s="32" t="s">
        <v>456</v>
      </c>
    </row>
    <row r="477" spans="2:3" hidden="1" x14ac:dyDescent="0.2">
      <c r="B477" s="29">
        <v>46153</v>
      </c>
      <c r="C477" s="32" t="s">
        <v>457</v>
      </c>
    </row>
    <row r="478" spans="2:3" hidden="1" x14ac:dyDescent="0.2">
      <c r="B478" s="29">
        <v>46154</v>
      </c>
      <c r="C478" s="32" t="s">
        <v>458</v>
      </c>
    </row>
    <row r="479" spans="2:3" hidden="1" x14ac:dyDescent="0.2">
      <c r="B479" s="29">
        <v>46155</v>
      </c>
      <c r="C479" s="32" t="s">
        <v>459</v>
      </c>
    </row>
    <row r="480" spans="2:3" hidden="1" x14ac:dyDescent="0.2">
      <c r="B480" s="29">
        <v>46156</v>
      </c>
      <c r="C480" s="32" t="s">
        <v>460</v>
      </c>
    </row>
    <row r="481" spans="2:3" hidden="1" x14ac:dyDescent="0.2">
      <c r="B481" s="29">
        <v>46157</v>
      </c>
      <c r="C481" s="32" t="s">
        <v>461</v>
      </c>
    </row>
    <row r="482" spans="2:3" hidden="1" x14ac:dyDescent="0.2">
      <c r="B482" s="29">
        <v>46158</v>
      </c>
      <c r="C482" s="32" t="s">
        <v>463</v>
      </c>
    </row>
    <row r="483" spans="2:3" hidden="1" x14ac:dyDescent="0.2">
      <c r="B483" s="29">
        <v>46159</v>
      </c>
      <c r="C483" s="32" t="s">
        <v>456</v>
      </c>
    </row>
    <row r="484" spans="2:3" hidden="1" x14ac:dyDescent="0.2">
      <c r="B484" s="29">
        <v>46160</v>
      </c>
      <c r="C484" s="32" t="s">
        <v>457</v>
      </c>
    </row>
    <row r="485" spans="2:3" hidden="1" x14ac:dyDescent="0.2">
      <c r="B485" s="29">
        <v>46161</v>
      </c>
      <c r="C485" s="32" t="s">
        <v>458</v>
      </c>
    </row>
    <row r="486" spans="2:3" hidden="1" x14ac:dyDescent="0.2">
      <c r="B486" s="29">
        <v>46162</v>
      </c>
      <c r="C486" s="32" t="s">
        <v>459</v>
      </c>
    </row>
    <row r="487" spans="2:3" hidden="1" x14ac:dyDescent="0.2">
      <c r="B487" s="29">
        <v>46163</v>
      </c>
      <c r="C487" s="32" t="s">
        <v>460</v>
      </c>
    </row>
    <row r="488" spans="2:3" hidden="1" x14ac:dyDescent="0.2">
      <c r="B488" s="29">
        <v>46164</v>
      </c>
      <c r="C488" s="32" t="s">
        <v>461</v>
      </c>
    </row>
    <row r="489" spans="2:3" hidden="1" x14ac:dyDescent="0.2">
      <c r="B489" s="29">
        <v>46165</v>
      </c>
      <c r="C489" s="32" t="s">
        <v>463</v>
      </c>
    </row>
    <row r="490" spans="2:3" hidden="1" x14ac:dyDescent="0.2">
      <c r="B490" s="29">
        <v>46166</v>
      </c>
      <c r="C490" s="32" t="s">
        <v>456</v>
      </c>
    </row>
    <row r="491" spans="2:3" hidden="1" x14ac:dyDescent="0.2">
      <c r="B491" s="29">
        <v>46167</v>
      </c>
      <c r="C491" s="32" t="s">
        <v>457</v>
      </c>
    </row>
    <row r="492" spans="2:3" hidden="1" x14ac:dyDescent="0.2">
      <c r="B492" s="29">
        <v>46168</v>
      </c>
      <c r="C492" s="32" t="s">
        <v>458</v>
      </c>
    </row>
    <row r="493" spans="2:3" hidden="1" x14ac:dyDescent="0.2">
      <c r="B493" s="29">
        <v>46169</v>
      </c>
      <c r="C493" s="32" t="s">
        <v>459</v>
      </c>
    </row>
    <row r="494" spans="2:3" hidden="1" x14ac:dyDescent="0.2">
      <c r="B494" s="29">
        <v>46170</v>
      </c>
      <c r="C494" s="32" t="s">
        <v>460</v>
      </c>
    </row>
    <row r="495" spans="2:3" hidden="1" x14ac:dyDescent="0.2">
      <c r="B495" s="29">
        <v>46171</v>
      </c>
      <c r="C495" s="32" t="s">
        <v>461</v>
      </c>
    </row>
    <row r="496" spans="2:3" hidden="1" x14ac:dyDescent="0.2">
      <c r="B496" s="29">
        <v>46172</v>
      </c>
      <c r="C496" s="32" t="s">
        <v>463</v>
      </c>
    </row>
    <row r="497" spans="2:3" hidden="1" x14ac:dyDescent="0.2">
      <c r="B497" s="29">
        <v>46173</v>
      </c>
      <c r="C497" s="32" t="s">
        <v>456</v>
      </c>
    </row>
    <row r="498" spans="2:3" hidden="1" x14ac:dyDescent="0.2">
      <c r="B498" s="29">
        <v>46143</v>
      </c>
      <c r="C498" s="32" t="s">
        <v>461</v>
      </c>
    </row>
    <row r="499" spans="2:3" hidden="1" x14ac:dyDescent="0.2">
      <c r="B499" s="29">
        <v>46144</v>
      </c>
      <c r="C499" s="32" t="s">
        <v>463</v>
      </c>
    </row>
    <row r="500" spans="2:3" hidden="1" x14ac:dyDescent="0.2">
      <c r="B500" s="29">
        <v>46145</v>
      </c>
      <c r="C500" s="32" t="s">
        <v>456</v>
      </c>
    </row>
    <row r="501" spans="2:3" hidden="1" x14ac:dyDescent="0.2">
      <c r="B501" s="29">
        <v>46146</v>
      </c>
      <c r="C501" s="32" t="s">
        <v>457</v>
      </c>
    </row>
    <row r="502" spans="2:3" hidden="1" x14ac:dyDescent="0.2">
      <c r="B502" s="29">
        <v>46147</v>
      </c>
      <c r="C502" s="32" t="s">
        <v>458</v>
      </c>
    </row>
    <row r="503" spans="2:3" hidden="1" x14ac:dyDescent="0.2">
      <c r="B503" s="29">
        <v>46148</v>
      </c>
      <c r="C503" s="32" t="s">
        <v>459</v>
      </c>
    </row>
    <row r="504" spans="2:3" hidden="1" x14ac:dyDescent="0.2">
      <c r="B504" s="29">
        <v>46149</v>
      </c>
      <c r="C504" s="32" t="s">
        <v>460</v>
      </c>
    </row>
    <row r="505" spans="2:3" hidden="1" x14ac:dyDescent="0.2">
      <c r="B505" s="29">
        <v>46150</v>
      </c>
      <c r="C505" s="32" t="s">
        <v>461</v>
      </c>
    </row>
    <row r="506" spans="2:3" hidden="1" x14ac:dyDescent="0.2">
      <c r="B506" s="29">
        <v>46151</v>
      </c>
      <c r="C506" s="32" t="s">
        <v>463</v>
      </c>
    </row>
    <row r="507" spans="2:3" hidden="1" x14ac:dyDescent="0.2">
      <c r="B507" s="29">
        <v>46152</v>
      </c>
      <c r="C507" s="32" t="s">
        <v>456</v>
      </c>
    </row>
    <row r="508" spans="2:3" hidden="1" x14ac:dyDescent="0.2">
      <c r="B508" s="29">
        <v>46153</v>
      </c>
      <c r="C508" s="32" t="s">
        <v>457</v>
      </c>
    </row>
    <row r="509" spans="2:3" hidden="1" x14ac:dyDescent="0.2">
      <c r="B509" s="29">
        <v>46154</v>
      </c>
      <c r="C509" s="32" t="s">
        <v>458</v>
      </c>
    </row>
    <row r="510" spans="2:3" hidden="1" x14ac:dyDescent="0.2">
      <c r="B510" s="29">
        <v>46155</v>
      </c>
      <c r="C510" s="32" t="s">
        <v>459</v>
      </c>
    </row>
    <row r="511" spans="2:3" hidden="1" x14ac:dyDescent="0.2">
      <c r="B511" s="29">
        <v>46156</v>
      </c>
      <c r="C511" s="32" t="s">
        <v>460</v>
      </c>
    </row>
    <row r="512" spans="2:3" hidden="1" x14ac:dyDescent="0.2">
      <c r="B512" s="29">
        <v>46157</v>
      </c>
      <c r="C512" s="32" t="s">
        <v>461</v>
      </c>
    </row>
    <row r="513" spans="2:3" hidden="1" x14ac:dyDescent="0.2">
      <c r="B513" s="29">
        <v>46158</v>
      </c>
      <c r="C513" s="32" t="s">
        <v>463</v>
      </c>
    </row>
    <row r="514" spans="2:3" hidden="1" x14ac:dyDescent="0.2">
      <c r="B514" s="29">
        <v>46159</v>
      </c>
      <c r="C514" s="32" t="s">
        <v>456</v>
      </c>
    </row>
    <row r="515" spans="2:3" hidden="1" x14ac:dyDescent="0.2">
      <c r="B515" s="29">
        <v>46160</v>
      </c>
      <c r="C515" s="32" t="s">
        <v>457</v>
      </c>
    </row>
    <row r="516" spans="2:3" hidden="1" x14ac:dyDescent="0.2">
      <c r="B516" s="29">
        <v>46161</v>
      </c>
      <c r="C516" s="32" t="s">
        <v>458</v>
      </c>
    </row>
    <row r="517" spans="2:3" hidden="1" x14ac:dyDescent="0.2">
      <c r="B517" s="29">
        <v>46162</v>
      </c>
      <c r="C517" s="32" t="s">
        <v>459</v>
      </c>
    </row>
    <row r="518" spans="2:3" hidden="1" x14ac:dyDescent="0.2">
      <c r="B518" s="29">
        <v>46163</v>
      </c>
      <c r="C518" s="32" t="s">
        <v>460</v>
      </c>
    </row>
    <row r="519" spans="2:3" hidden="1" x14ac:dyDescent="0.2">
      <c r="B519" s="29">
        <v>46164</v>
      </c>
      <c r="C519" s="32" t="s">
        <v>461</v>
      </c>
    </row>
    <row r="520" spans="2:3" hidden="1" x14ac:dyDescent="0.2">
      <c r="B520" s="29">
        <v>46165</v>
      </c>
      <c r="C520" s="32" t="s">
        <v>463</v>
      </c>
    </row>
    <row r="521" spans="2:3" hidden="1" x14ac:dyDescent="0.2">
      <c r="B521" s="29">
        <v>46166</v>
      </c>
      <c r="C521" s="32" t="s">
        <v>456</v>
      </c>
    </row>
    <row r="522" spans="2:3" hidden="1" x14ac:dyDescent="0.2">
      <c r="B522" s="29">
        <v>46167</v>
      </c>
      <c r="C522" s="32" t="s">
        <v>457</v>
      </c>
    </row>
    <row r="523" spans="2:3" hidden="1" x14ac:dyDescent="0.2">
      <c r="B523" s="29">
        <v>46168</v>
      </c>
      <c r="C523" s="32" t="s">
        <v>458</v>
      </c>
    </row>
    <row r="524" spans="2:3" hidden="1" x14ac:dyDescent="0.2">
      <c r="B524" s="29">
        <v>46169</v>
      </c>
      <c r="C524" s="32" t="s">
        <v>459</v>
      </c>
    </row>
    <row r="525" spans="2:3" hidden="1" x14ac:dyDescent="0.2">
      <c r="B525" s="29">
        <v>46170</v>
      </c>
      <c r="C525" s="32" t="s">
        <v>460</v>
      </c>
    </row>
    <row r="526" spans="2:3" hidden="1" x14ac:dyDescent="0.2">
      <c r="B526" s="29">
        <v>46171</v>
      </c>
      <c r="C526" s="32" t="s">
        <v>461</v>
      </c>
    </row>
    <row r="527" spans="2:3" hidden="1" x14ac:dyDescent="0.2">
      <c r="B527" s="29">
        <v>46172</v>
      </c>
      <c r="C527" s="32" t="s">
        <v>463</v>
      </c>
    </row>
    <row r="528" spans="2:3" hidden="1" x14ac:dyDescent="0.2">
      <c r="B528" s="29">
        <v>46173</v>
      </c>
      <c r="C528" s="32" t="s">
        <v>456</v>
      </c>
    </row>
    <row r="529" spans="2:3" hidden="1" x14ac:dyDescent="0.2">
      <c r="B529" s="29">
        <v>46143</v>
      </c>
      <c r="C529" s="32" t="s">
        <v>461</v>
      </c>
    </row>
    <row r="530" spans="2:3" hidden="1" x14ac:dyDescent="0.2">
      <c r="B530" s="29">
        <v>46144</v>
      </c>
      <c r="C530" s="32" t="s">
        <v>463</v>
      </c>
    </row>
    <row r="531" spans="2:3" hidden="1" x14ac:dyDescent="0.2">
      <c r="B531" s="29">
        <v>46145</v>
      </c>
      <c r="C531" s="32" t="s">
        <v>456</v>
      </c>
    </row>
    <row r="532" spans="2:3" hidden="1" x14ac:dyDescent="0.2">
      <c r="B532" s="29">
        <v>46146</v>
      </c>
      <c r="C532" s="32" t="s">
        <v>457</v>
      </c>
    </row>
    <row r="533" spans="2:3" hidden="1" x14ac:dyDescent="0.2">
      <c r="B533" s="29">
        <v>46147</v>
      </c>
      <c r="C533" s="32" t="s">
        <v>458</v>
      </c>
    </row>
    <row r="534" spans="2:3" hidden="1" x14ac:dyDescent="0.2">
      <c r="B534" s="29">
        <v>46148</v>
      </c>
      <c r="C534" s="32" t="s">
        <v>459</v>
      </c>
    </row>
    <row r="535" spans="2:3" hidden="1" x14ac:dyDescent="0.2">
      <c r="B535" s="29">
        <v>46149</v>
      </c>
      <c r="C535" s="32" t="s">
        <v>460</v>
      </c>
    </row>
    <row r="536" spans="2:3" hidden="1" x14ac:dyDescent="0.2">
      <c r="B536" s="29">
        <v>46150</v>
      </c>
      <c r="C536" s="32" t="s">
        <v>461</v>
      </c>
    </row>
    <row r="537" spans="2:3" hidden="1" x14ac:dyDescent="0.2">
      <c r="B537" s="29">
        <v>46151</v>
      </c>
      <c r="C537" s="32" t="s">
        <v>463</v>
      </c>
    </row>
    <row r="538" spans="2:3" hidden="1" x14ac:dyDescent="0.2">
      <c r="B538" s="29">
        <v>46152</v>
      </c>
      <c r="C538" s="32" t="s">
        <v>456</v>
      </c>
    </row>
    <row r="539" spans="2:3" hidden="1" x14ac:dyDescent="0.2">
      <c r="B539" s="29">
        <v>46153</v>
      </c>
      <c r="C539" s="32" t="s">
        <v>457</v>
      </c>
    </row>
    <row r="540" spans="2:3" hidden="1" x14ac:dyDescent="0.2">
      <c r="B540" s="29">
        <v>46154</v>
      </c>
      <c r="C540" s="32" t="s">
        <v>458</v>
      </c>
    </row>
    <row r="541" spans="2:3" hidden="1" x14ac:dyDescent="0.2">
      <c r="B541" s="29">
        <v>46155</v>
      </c>
      <c r="C541" s="32" t="s">
        <v>459</v>
      </c>
    </row>
    <row r="542" spans="2:3" hidden="1" x14ac:dyDescent="0.2">
      <c r="B542" s="29">
        <v>46156</v>
      </c>
      <c r="C542" s="32" t="s">
        <v>460</v>
      </c>
    </row>
    <row r="543" spans="2:3" hidden="1" x14ac:dyDescent="0.2">
      <c r="B543" s="29">
        <v>46157</v>
      </c>
      <c r="C543" s="32" t="s">
        <v>461</v>
      </c>
    </row>
    <row r="544" spans="2:3" hidden="1" x14ac:dyDescent="0.2">
      <c r="B544" s="29">
        <v>46158</v>
      </c>
      <c r="C544" s="32" t="s">
        <v>463</v>
      </c>
    </row>
    <row r="545" spans="2:3" hidden="1" x14ac:dyDescent="0.2">
      <c r="B545" s="29">
        <v>46159</v>
      </c>
      <c r="C545" s="32" t="s">
        <v>456</v>
      </c>
    </row>
    <row r="546" spans="2:3" hidden="1" x14ac:dyDescent="0.2">
      <c r="B546" s="29">
        <v>46160</v>
      </c>
      <c r="C546" s="32" t="s">
        <v>457</v>
      </c>
    </row>
    <row r="547" spans="2:3" hidden="1" x14ac:dyDescent="0.2">
      <c r="B547" s="29">
        <v>46161</v>
      </c>
      <c r="C547" s="32" t="s">
        <v>458</v>
      </c>
    </row>
    <row r="548" spans="2:3" hidden="1" x14ac:dyDescent="0.2">
      <c r="B548" s="29">
        <v>46162</v>
      </c>
      <c r="C548" s="32" t="s">
        <v>459</v>
      </c>
    </row>
    <row r="549" spans="2:3" hidden="1" x14ac:dyDescent="0.2">
      <c r="B549" s="29">
        <v>46163</v>
      </c>
      <c r="C549" s="32" t="s">
        <v>460</v>
      </c>
    </row>
    <row r="550" spans="2:3" hidden="1" x14ac:dyDescent="0.2">
      <c r="B550" s="29">
        <v>46164</v>
      </c>
      <c r="C550" s="32" t="s">
        <v>461</v>
      </c>
    </row>
    <row r="551" spans="2:3" hidden="1" x14ac:dyDescent="0.2">
      <c r="B551" s="29">
        <v>46165</v>
      </c>
      <c r="C551" s="32" t="s">
        <v>463</v>
      </c>
    </row>
    <row r="552" spans="2:3" hidden="1" x14ac:dyDescent="0.2">
      <c r="B552" s="29">
        <v>46166</v>
      </c>
      <c r="C552" s="32" t="s">
        <v>456</v>
      </c>
    </row>
    <row r="553" spans="2:3" hidden="1" x14ac:dyDescent="0.2">
      <c r="B553" s="29">
        <v>46167</v>
      </c>
      <c r="C553" s="32" t="s">
        <v>457</v>
      </c>
    </row>
    <row r="554" spans="2:3" hidden="1" x14ac:dyDescent="0.2">
      <c r="B554" s="29">
        <v>46168</v>
      </c>
      <c r="C554" s="32" t="s">
        <v>458</v>
      </c>
    </row>
    <row r="555" spans="2:3" hidden="1" x14ac:dyDescent="0.2">
      <c r="B555" s="29">
        <v>46169</v>
      </c>
      <c r="C555" s="32" t="s">
        <v>459</v>
      </c>
    </row>
    <row r="556" spans="2:3" hidden="1" x14ac:dyDescent="0.2">
      <c r="B556" s="29">
        <v>46170</v>
      </c>
      <c r="C556" s="32" t="s">
        <v>460</v>
      </c>
    </row>
    <row r="557" spans="2:3" hidden="1" x14ac:dyDescent="0.2">
      <c r="B557" s="29">
        <v>46171</v>
      </c>
      <c r="C557" s="32" t="s">
        <v>461</v>
      </c>
    </row>
    <row r="558" spans="2:3" hidden="1" x14ac:dyDescent="0.2">
      <c r="B558" s="29">
        <v>46172</v>
      </c>
      <c r="C558" s="32" t="s">
        <v>463</v>
      </c>
    </row>
    <row r="559" spans="2:3" hidden="1" x14ac:dyDescent="0.2">
      <c r="B559" s="29">
        <v>46173</v>
      </c>
      <c r="C559" s="32" t="s">
        <v>456</v>
      </c>
    </row>
    <row r="560" spans="2:3" hidden="1" x14ac:dyDescent="0.2">
      <c r="B560" s="29">
        <v>46143</v>
      </c>
      <c r="C560" s="32" t="s">
        <v>461</v>
      </c>
    </row>
    <row r="561" spans="2:3" hidden="1" x14ac:dyDescent="0.2">
      <c r="B561" s="29">
        <v>46144</v>
      </c>
      <c r="C561" s="32" t="s">
        <v>463</v>
      </c>
    </row>
    <row r="562" spans="2:3" hidden="1" x14ac:dyDescent="0.2">
      <c r="B562" s="29">
        <v>46145</v>
      </c>
      <c r="C562" s="32" t="s">
        <v>456</v>
      </c>
    </row>
    <row r="563" spans="2:3" hidden="1" x14ac:dyDescent="0.2">
      <c r="B563" s="29">
        <v>46146</v>
      </c>
      <c r="C563" s="32" t="s">
        <v>457</v>
      </c>
    </row>
    <row r="564" spans="2:3" hidden="1" x14ac:dyDescent="0.2">
      <c r="B564" s="29">
        <v>46147</v>
      </c>
      <c r="C564" s="32" t="s">
        <v>458</v>
      </c>
    </row>
    <row r="565" spans="2:3" hidden="1" x14ac:dyDescent="0.2">
      <c r="B565" s="29">
        <v>46148</v>
      </c>
      <c r="C565" s="32" t="s">
        <v>459</v>
      </c>
    </row>
    <row r="566" spans="2:3" hidden="1" x14ac:dyDescent="0.2">
      <c r="B566" s="29">
        <v>46149</v>
      </c>
      <c r="C566" s="32" t="s">
        <v>460</v>
      </c>
    </row>
    <row r="567" spans="2:3" hidden="1" x14ac:dyDescent="0.2">
      <c r="B567" s="29">
        <v>46150</v>
      </c>
      <c r="C567" s="32" t="s">
        <v>461</v>
      </c>
    </row>
    <row r="568" spans="2:3" hidden="1" x14ac:dyDescent="0.2">
      <c r="B568" s="29">
        <v>46151</v>
      </c>
      <c r="C568" s="32" t="s">
        <v>463</v>
      </c>
    </row>
    <row r="569" spans="2:3" hidden="1" x14ac:dyDescent="0.2">
      <c r="B569" s="29">
        <v>46152</v>
      </c>
      <c r="C569" s="32" t="s">
        <v>456</v>
      </c>
    </row>
    <row r="570" spans="2:3" hidden="1" x14ac:dyDescent="0.2">
      <c r="B570" s="29">
        <v>46153</v>
      </c>
      <c r="C570" s="32" t="s">
        <v>457</v>
      </c>
    </row>
    <row r="571" spans="2:3" hidden="1" x14ac:dyDescent="0.2">
      <c r="B571" s="29">
        <v>46154</v>
      </c>
      <c r="C571" s="32" t="s">
        <v>458</v>
      </c>
    </row>
    <row r="572" spans="2:3" hidden="1" x14ac:dyDescent="0.2">
      <c r="B572" s="29">
        <v>46155</v>
      </c>
      <c r="C572" s="32" t="s">
        <v>459</v>
      </c>
    </row>
    <row r="573" spans="2:3" hidden="1" x14ac:dyDescent="0.2">
      <c r="B573" s="29">
        <v>46156</v>
      </c>
      <c r="C573" s="32" t="s">
        <v>460</v>
      </c>
    </row>
    <row r="574" spans="2:3" hidden="1" x14ac:dyDescent="0.2">
      <c r="B574" s="29">
        <v>46157</v>
      </c>
      <c r="C574" s="32" t="s">
        <v>461</v>
      </c>
    </row>
    <row r="575" spans="2:3" hidden="1" x14ac:dyDescent="0.2">
      <c r="B575" s="29">
        <v>46158</v>
      </c>
      <c r="C575" s="32" t="s">
        <v>463</v>
      </c>
    </row>
    <row r="576" spans="2:3" hidden="1" x14ac:dyDescent="0.2">
      <c r="B576" s="29">
        <v>46159</v>
      </c>
      <c r="C576" s="32" t="s">
        <v>456</v>
      </c>
    </row>
    <row r="577" spans="2:3" hidden="1" x14ac:dyDescent="0.2">
      <c r="B577" s="29">
        <v>46160</v>
      </c>
      <c r="C577" s="32" t="s">
        <v>457</v>
      </c>
    </row>
    <row r="578" spans="2:3" hidden="1" x14ac:dyDescent="0.2">
      <c r="B578" s="29">
        <v>46161</v>
      </c>
      <c r="C578" s="32" t="s">
        <v>458</v>
      </c>
    </row>
    <row r="579" spans="2:3" hidden="1" x14ac:dyDescent="0.2">
      <c r="B579" s="29">
        <v>46162</v>
      </c>
      <c r="C579" s="32" t="s">
        <v>459</v>
      </c>
    </row>
    <row r="580" spans="2:3" hidden="1" x14ac:dyDescent="0.2">
      <c r="B580" s="29">
        <v>46163</v>
      </c>
      <c r="C580" s="32" t="s">
        <v>460</v>
      </c>
    </row>
    <row r="581" spans="2:3" hidden="1" x14ac:dyDescent="0.2">
      <c r="B581" s="29">
        <v>46164</v>
      </c>
      <c r="C581" s="32" t="s">
        <v>461</v>
      </c>
    </row>
    <row r="582" spans="2:3" hidden="1" x14ac:dyDescent="0.2">
      <c r="B582" s="29">
        <v>46165</v>
      </c>
      <c r="C582" s="32" t="s">
        <v>463</v>
      </c>
    </row>
    <row r="583" spans="2:3" hidden="1" x14ac:dyDescent="0.2">
      <c r="B583" s="29">
        <v>46166</v>
      </c>
      <c r="C583" s="32" t="s">
        <v>456</v>
      </c>
    </row>
    <row r="584" spans="2:3" hidden="1" x14ac:dyDescent="0.2">
      <c r="B584" s="29">
        <v>46167</v>
      </c>
      <c r="C584" s="32" t="s">
        <v>457</v>
      </c>
    </row>
    <row r="585" spans="2:3" hidden="1" x14ac:dyDescent="0.2">
      <c r="B585" s="29">
        <v>46168</v>
      </c>
      <c r="C585" s="32" t="s">
        <v>458</v>
      </c>
    </row>
    <row r="586" spans="2:3" hidden="1" x14ac:dyDescent="0.2">
      <c r="B586" s="29">
        <v>46169</v>
      </c>
      <c r="C586" s="32" t="s">
        <v>459</v>
      </c>
    </row>
    <row r="587" spans="2:3" hidden="1" x14ac:dyDescent="0.2">
      <c r="B587" s="29">
        <v>46170</v>
      </c>
      <c r="C587" s="32" t="s">
        <v>460</v>
      </c>
    </row>
    <row r="588" spans="2:3" hidden="1" x14ac:dyDescent="0.2">
      <c r="B588" s="29">
        <v>46171</v>
      </c>
      <c r="C588" s="32" t="s">
        <v>461</v>
      </c>
    </row>
    <row r="589" spans="2:3" hidden="1" x14ac:dyDescent="0.2">
      <c r="B589" s="29">
        <v>46172</v>
      </c>
      <c r="C589" s="32" t="s">
        <v>463</v>
      </c>
    </row>
    <row r="590" spans="2:3" hidden="1" x14ac:dyDescent="0.2">
      <c r="B590" s="29">
        <v>46173</v>
      </c>
      <c r="C590" s="32" t="s">
        <v>456</v>
      </c>
    </row>
  </sheetData>
  <autoFilter ref="A1:I590">
    <filterColumn colId="0">
      <filters>
        <filter val="SALMAN MIRZA"/>
      </filters>
    </filterColumn>
  </autoFilter>
  <conditionalFormatting sqref="G1">
    <cfRule type="containsText" dxfId="3" priority="1" operator="containsText" text="CHUTTI">
      <formula>NOT(ISERROR(SEARCH("CHUTTI",G1)))</formula>
    </cfRule>
    <cfRule type="containsText" dxfId="2" priority="2" operator="containsText" text="LATE">
      <formula>NOT(ISERROR(SEARCH("LATE",G1)))</formula>
    </cfRule>
    <cfRule type="containsText" dxfId="1" priority="3" operator="containsText" text="ABSENT">
      <formula>NOT(ISERROR(SEARCH("ABSENT",G1)))</formula>
    </cfRule>
    <cfRule type="containsText" dxfId="0" priority="4" operator="containsText" text="OK">
      <formula>NOT(ISERROR(SEARCH("OK",G1)))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 2026</vt:lpstr>
      <vt:lpstr>FEB 2026</vt:lpstr>
      <vt:lpstr>MAR 2026</vt:lpstr>
      <vt:lpstr>APRIL 2026</vt:lpstr>
      <vt:lpstr>MAY 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created xsi:type="dcterms:W3CDTF">2026-02-04T11:27:56Z</dcterms:created>
  <dcterms:modified xsi:type="dcterms:W3CDTF">2026-06-08T13:35:41Z</dcterms:modified>
</cp:coreProperties>
</file>